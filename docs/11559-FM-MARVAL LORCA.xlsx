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PEDIDOS PARCIALES\"/>
    </mc:Choice>
  </mc:AlternateContent>
  <xr:revisionPtr revIDLastSave="0" documentId="8_{CBA5D0E6-2EAA-4285-977B-0BB9CB572A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ESPACHOS" sheetId="1" r:id="rId1"/>
    <sheet name="H" sheetId="2" r:id="rId2"/>
    <sheet name="Hoja3" sheetId="3" r:id="rId3"/>
  </sheets>
  <definedNames>
    <definedName name="_xlnm._FilterDatabase" localSheetId="0" hidden="1">DESPACHOS!#REF!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" i="1" l="1"/>
  <c r="N13" i="1"/>
  <c r="N14" i="1"/>
  <c r="N15" i="1"/>
  <c r="N16" i="1"/>
  <c r="N17" i="1"/>
  <c r="N18" i="1"/>
  <c r="N19" i="1"/>
  <c r="N20" i="1"/>
  <c r="N21" i="1"/>
  <c r="N22" i="1"/>
  <c r="N23" i="1"/>
  <c r="N24" i="1"/>
  <c r="N11" i="1"/>
  <c r="E24" i="1"/>
  <c r="G24" i="1" s="1"/>
  <c r="F11" i="1"/>
  <c r="F12" i="1"/>
  <c r="F13" i="1"/>
  <c r="F14" i="1"/>
  <c r="F15" i="1"/>
  <c r="G11" i="1"/>
  <c r="G12" i="1"/>
  <c r="G13" i="1"/>
  <c r="G14" i="1"/>
  <c r="G15" i="1"/>
  <c r="G16" i="1"/>
  <c r="G2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ALFOREQUIPOS</author>
  </authors>
  <commentList>
    <comment ref="E8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ALFOREQUIPOS:</t>
        </r>
        <r>
          <rPr>
            <sz val="9"/>
            <color indexed="81"/>
            <rFont val="Tahoma"/>
            <family val="2"/>
          </rPr>
          <t xml:space="preserve">
ESPECIFICAR SI ES SALDO, DESPACHO NUEVO </t>
        </r>
      </text>
    </comment>
    <comment ref="A18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ALFOREQUIPOS:</t>
        </r>
        <r>
          <rPr>
            <sz val="9"/>
            <color indexed="81"/>
            <rFont val="Tahoma"/>
            <family val="2"/>
          </rPr>
          <t xml:space="preserve">
ESPECIFICAR ANCHO DE MURO Y EL ANCHO DE LA CORBATA</t>
        </r>
      </text>
    </comment>
    <comment ref="A21" authorId="0" shapeId="0" xr:uid="{2AA3BDFC-4AFC-4FD7-9280-F82B6857E301}">
      <text>
        <r>
          <rPr>
            <b/>
            <sz val="9"/>
            <color indexed="81"/>
            <rFont val="Tahoma"/>
            <family val="2"/>
          </rPr>
          <t>ALFOREQUIPOS:</t>
        </r>
        <r>
          <rPr>
            <sz val="9"/>
            <color indexed="81"/>
            <rFont val="Tahoma"/>
            <family val="2"/>
          </rPr>
          <t xml:space="preserve">
ESPECIFICAR ANCHO DE MURO Y EL ANCHO DE LA CORBATA</t>
        </r>
      </text>
    </comment>
  </commentList>
</comments>
</file>

<file path=xl/sharedStrings.xml><?xml version="1.0" encoding="utf-8"?>
<sst xmlns="http://schemas.openxmlformats.org/spreadsheetml/2006/main" count="45" uniqueCount="42">
  <si>
    <t>Fecha:</t>
  </si>
  <si>
    <t>REFERENCIA:</t>
  </si>
  <si>
    <t>DESPACHO</t>
  </si>
  <si>
    <t>CONSTRUCTORA:</t>
  </si>
  <si>
    <t>OBRA:</t>
  </si>
  <si>
    <t>TELEFONO:</t>
  </si>
  <si>
    <t>CONTACTO:</t>
  </si>
  <si>
    <t>ELEMENTOS</t>
  </si>
  <si>
    <t>LARGO</t>
  </si>
  <si>
    <t>ANCHO</t>
  </si>
  <si>
    <t>ALTO</t>
  </si>
  <si>
    <t>CANTIDAD</t>
  </si>
  <si>
    <t>AREA</t>
  </si>
  <si>
    <t>TABLEROS</t>
  </si>
  <si>
    <t>ANGULOS</t>
  </si>
  <si>
    <t>CORBATAS</t>
  </si>
  <si>
    <t>PINES</t>
  </si>
  <si>
    <t>ESTADO:</t>
  </si>
  <si>
    <t>DIRECCION:</t>
  </si>
  <si>
    <t>FECHA DE ENTREGA:</t>
  </si>
  <si>
    <t>PESO</t>
  </si>
  <si>
    <t>TOTAL PESO</t>
  </si>
  <si>
    <t>NOTA:</t>
  </si>
  <si>
    <t xml:space="preserve">QUIEN ENTREGA </t>
  </si>
  <si>
    <t>QUIEN RECIBE</t>
  </si>
  <si>
    <t>CONDUCTOR</t>
  </si>
  <si>
    <t>la persona que realiza el despacho debe entregar el equipo totalmente</t>
  </si>
  <si>
    <t>verificado y contado.</t>
  </si>
  <si>
    <t xml:space="preserve">la persona que recibe el equipo (el conductor), debe de verificar y </t>
  </si>
  <si>
    <t>contar la totalidad del equipo para su respectiva entrega en obra,</t>
  </si>
  <si>
    <t>NOMBRE CLARO</t>
  </si>
  <si>
    <t>ASESOR:</t>
  </si>
  <si>
    <t>DAVID NIÑO</t>
  </si>
  <si>
    <t>No. 11559</t>
  </si>
  <si>
    <t>MURO DE 0.15 LONG. 0,25</t>
  </si>
  <si>
    <t>MURO DE 0.20 LONG. 0,30</t>
  </si>
  <si>
    <t>MARVAL</t>
  </si>
  <si>
    <t>LORCA (MURETES)</t>
  </si>
  <si>
    <t>(601) 7-455565</t>
  </si>
  <si>
    <t>JOSÉ ALEJANDRO</t>
  </si>
  <si>
    <t>FM 1081</t>
  </si>
  <si>
    <t>Saldo Pte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</si>
</sst>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14" fontId="0" fillId="0" borderId="3" xfId="0" applyNumberFormat="1" applyBorder="1"/>
    <xf numFmtId="0" fontId="0" fillId="0" borderId="4" xfId="0" applyBorder="1"/>
    <xf numFmtId="0" fontId="0" fillId="0" borderId="5" xfId="0" applyBorder="1"/>
    <xf numFmtId="14" fontId="0" fillId="0" borderId="0" xfId="0" applyNumberFormat="1"/>
    <xf numFmtId="0" fontId="0" fillId="0" borderId="6" xfId="0" applyBorder="1"/>
    <xf numFmtId="0" fontId="1" fillId="3" borderId="7" xfId="0" applyFont="1" applyFill="1" applyBorder="1"/>
    <xf numFmtId="0" fontId="4" fillId="2" borderId="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5" xfId="0" applyFont="1" applyBorder="1"/>
    <xf numFmtId="0" fontId="1" fillId="0" borderId="3" xfId="0" applyFont="1" applyBorder="1"/>
    <xf numFmtId="0" fontId="1" fillId="0" borderId="0" xfId="0" applyFont="1"/>
    <xf numFmtId="2" fontId="0" fillId="0" borderId="1" xfId="0" applyNumberFormat="1" applyBorder="1"/>
    <xf numFmtId="0" fontId="0" fillId="0" borderId="8" xfId="0" applyBorder="1"/>
    <xf numFmtId="0" fontId="0" fillId="0" borderId="10" xfId="0" applyBorder="1"/>
    <xf numFmtId="0" fontId="0" fillId="0" borderId="11" xfId="0" applyBorder="1"/>
    <xf numFmtId="0" fontId="1" fillId="4" borderId="9" xfId="0" applyFont="1" applyFill="1" applyBorder="1"/>
    <xf numFmtId="0" fontId="4" fillId="2" borderId="8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5" fillId="0" borderId="0" xfId="0" applyFont="1"/>
    <xf numFmtId="0" fontId="0" fillId="0" borderId="12" xfId="0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top"/>
    </xf>
    <xf numFmtId="0" fontId="0" fillId="0" borderId="12" xfId="0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1" fontId="0" fillId="0" borderId="1" xfId="0" applyNumberFormat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zoomScaleNormal="100" workbookViewId="0">
      <selection activeCell="M30" sqref="M30"/>
    </sheetView>
  </sheetViews>
  <sheetFormatPr baseColWidth="10" defaultRowHeight="15" x14ac:dyDescent="0.25"/>
  <cols>
    <col min="1" max="1" width="24.5703125" bestFit="1" customWidth="1"/>
    <col min="6" max="6" width="11.28515625" customWidth="1"/>
    <col min="7" max="7" width="8.28515625" customWidth="1"/>
  </cols>
  <sheetData>
    <row r="1" spans="1:14" x14ac:dyDescent="0.25">
      <c r="A1" s="2" t="s">
        <v>33</v>
      </c>
      <c r="B1" s="14" t="s">
        <v>0</v>
      </c>
      <c r="C1" s="4">
        <v>46208</v>
      </c>
      <c r="D1" s="3"/>
      <c r="E1" s="14" t="s">
        <v>1</v>
      </c>
      <c r="F1" s="3" t="s">
        <v>2</v>
      </c>
      <c r="G1" s="5"/>
    </row>
    <row r="2" spans="1:14" x14ac:dyDescent="0.25">
      <c r="A2" s="6"/>
      <c r="C2" s="7"/>
      <c r="G2" s="8"/>
    </row>
    <row r="3" spans="1:14" x14ac:dyDescent="0.25">
      <c r="A3" s="13" t="s">
        <v>3</v>
      </c>
      <c r="B3" s="25" t="s">
        <v>36</v>
      </c>
      <c r="G3" s="8"/>
    </row>
    <row r="4" spans="1:14" x14ac:dyDescent="0.25">
      <c r="A4" s="13" t="s">
        <v>4</v>
      </c>
      <c r="B4" t="s">
        <v>37</v>
      </c>
      <c r="G4" s="8"/>
    </row>
    <row r="5" spans="1:14" x14ac:dyDescent="0.25">
      <c r="A5" s="13" t="s">
        <v>18</v>
      </c>
      <c r="G5" s="8"/>
    </row>
    <row r="6" spans="1:14" x14ac:dyDescent="0.25">
      <c r="A6" s="13" t="s">
        <v>5</v>
      </c>
      <c r="B6" s="25" t="s">
        <v>38</v>
      </c>
      <c r="G6" s="8"/>
    </row>
    <row r="7" spans="1:14" x14ac:dyDescent="0.25">
      <c r="A7" s="13" t="s">
        <v>6</v>
      </c>
      <c r="B7" s="25" t="s">
        <v>39</v>
      </c>
      <c r="D7" s="15" t="s">
        <v>19</v>
      </c>
      <c r="F7" s="7">
        <v>46210</v>
      </c>
      <c r="G7" s="8"/>
    </row>
    <row r="8" spans="1:14" x14ac:dyDescent="0.25">
      <c r="A8" s="13" t="s">
        <v>31</v>
      </c>
      <c r="B8" t="s">
        <v>32</v>
      </c>
      <c r="D8" s="15" t="s">
        <v>17</v>
      </c>
      <c r="G8" s="8"/>
    </row>
    <row r="9" spans="1:14" x14ac:dyDescent="0.25">
      <c r="A9" s="6"/>
      <c r="G9" s="8"/>
      <c r="H9" s="7">
        <v>46209</v>
      </c>
    </row>
    <row r="10" spans="1:14" ht="15.75" x14ac:dyDescent="0.25">
      <c r="A10" s="10" t="s">
        <v>7</v>
      </c>
      <c r="B10" s="11" t="s">
        <v>8</v>
      </c>
      <c r="C10" s="11" t="s">
        <v>9</v>
      </c>
      <c r="D10" s="11" t="s">
        <v>10</v>
      </c>
      <c r="E10" s="21" t="s">
        <v>11</v>
      </c>
      <c r="F10" s="22" t="s">
        <v>12</v>
      </c>
      <c r="G10" s="28" t="s">
        <v>20</v>
      </c>
      <c r="H10" s="11" t="s">
        <v>40</v>
      </c>
      <c r="I10" s="1"/>
      <c r="J10" s="1"/>
      <c r="K10" s="1"/>
      <c r="L10" s="1"/>
      <c r="M10" s="1"/>
      <c r="N10" s="11" t="s">
        <v>41</v>
      </c>
    </row>
    <row r="11" spans="1:14" x14ac:dyDescent="0.25">
      <c r="A11" s="9" t="s">
        <v>13</v>
      </c>
      <c r="B11" s="1"/>
      <c r="C11" s="16">
        <v>0.45</v>
      </c>
      <c r="D11" s="16">
        <v>1.2</v>
      </c>
      <c r="E11" s="1">
        <v>14</v>
      </c>
      <c r="F11" s="17">
        <f t="shared" ref="F11:F15" si="0">+D11*C11*E11</f>
        <v>7.5600000000000005</v>
      </c>
      <c r="G11" s="17">
        <f>+E11*25.5</f>
        <v>357</v>
      </c>
      <c r="H11" s="1"/>
      <c r="I11" s="29"/>
      <c r="J11" s="1"/>
      <c r="K11" s="1"/>
      <c r="L11" s="1"/>
      <c r="M11" s="1"/>
      <c r="N11" s="29">
        <f>E11-H11-I11-J11-K11-L11-M11</f>
        <v>14</v>
      </c>
    </row>
    <row r="12" spans="1:14" x14ac:dyDescent="0.25">
      <c r="A12" s="9"/>
      <c r="B12" s="1"/>
      <c r="C12" s="16">
        <v>0.2</v>
      </c>
      <c r="D12" s="16">
        <v>1.2</v>
      </c>
      <c r="E12" s="1">
        <v>28</v>
      </c>
      <c r="F12" s="17">
        <f t="shared" si="0"/>
        <v>6.72</v>
      </c>
      <c r="G12" s="17">
        <f>+E12*11.3</f>
        <v>316.40000000000003</v>
      </c>
      <c r="H12" s="1"/>
      <c r="I12" s="1"/>
      <c r="J12" s="1"/>
      <c r="K12" s="1"/>
      <c r="L12" s="1"/>
      <c r="M12" s="1"/>
      <c r="N12" s="29">
        <f t="shared" ref="N12:N24" si="1">E12-H12-I12-J12-K12-L12-M12</f>
        <v>28</v>
      </c>
    </row>
    <row r="13" spans="1:14" x14ac:dyDescent="0.25">
      <c r="A13" s="9"/>
      <c r="B13" s="1"/>
      <c r="C13" s="16">
        <v>0.15</v>
      </c>
      <c r="D13" s="16">
        <v>1.2</v>
      </c>
      <c r="E13" s="1">
        <v>20</v>
      </c>
      <c r="F13" s="17">
        <f t="shared" si="0"/>
        <v>3.5999999999999996</v>
      </c>
      <c r="G13" s="17">
        <f>+E13*8.5</f>
        <v>170</v>
      </c>
      <c r="H13" s="1"/>
      <c r="I13" s="1"/>
      <c r="J13" s="1"/>
      <c r="K13" s="1"/>
      <c r="L13" s="1"/>
      <c r="M13" s="1"/>
      <c r="N13" s="29">
        <f t="shared" si="1"/>
        <v>20</v>
      </c>
    </row>
    <row r="14" spans="1:14" x14ac:dyDescent="0.25">
      <c r="A14" s="9"/>
      <c r="B14" s="1"/>
      <c r="C14" s="16">
        <v>0.1</v>
      </c>
      <c r="D14" s="16">
        <v>1.2</v>
      </c>
      <c r="E14" s="1">
        <v>18</v>
      </c>
      <c r="F14" s="17">
        <f t="shared" si="0"/>
        <v>2.16</v>
      </c>
      <c r="G14" s="17">
        <f>+E14*5.7</f>
        <v>102.60000000000001</v>
      </c>
      <c r="H14" s="1"/>
      <c r="I14" s="1"/>
      <c r="J14" s="1"/>
      <c r="K14" s="1"/>
      <c r="L14" s="1"/>
      <c r="M14" s="1"/>
      <c r="N14" s="29">
        <f t="shared" si="1"/>
        <v>18</v>
      </c>
    </row>
    <row r="15" spans="1:14" x14ac:dyDescent="0.25">
      <c r="A15" s="9"/>
      <c r="B15" s="1"/>
      <c r="C15" s="16">
        <v>0.05</v>
      </c>
      <c r="D15" s="16">
        <v>1.2</v>
      </c>
      <c r="E15" s="1">
        <v>2</v>
      </c>
      <c r="F15" s="17">
        <f t="shared" si="0"/>
        <v>0.12</v>
      </c>
      <c r="G15" s="17">
        <f>+E15*2.8</f>
        <v>5.6</v>
      </c>
      <c r="H15" s="1"/>
      <c r="I15" s="1"/>
      <c r="J15" s="1"/>
      <c r="K15" s="1"/>
      <c r="L15" s="1"/>
      <c r="M15" s="1"/>
      <c r="N15" s="29">
        <f t="shared" si="1"/>
        <v>2</v>
      </c>
    </row>
    <row r="16" spans="1:14" x14ac:dyDescent="0.25">
      <c r="A16" s="9" t="s">
        <v>14</v>
      </c>
      <c r="B16" s="16">
        <v>2.4</v>
      </c>
      <c r="C16" s="1"/>
      <c r="D16" s="1"/>
      <c r="E16" s="1">
        <v>57</v>
      </c>
      <c r="F16" s="17"/>
      <c r="G16" s="17">
        <f>+E16*6.5</f>
        <v>370.5</v>
      </c>
      <c r="H16" s="1">
        <v>15</v>
      </c>
      <c r="I16" s="1"/>
      <c r="J16" s="1"/>
      <c r="K16" s="1"/>
      <c r="L16" s="1"/>
      <c r="M16" s="1"/>
      <c r="N16" s="29">
        <f t="shared" si="1"/>
        <v>42</v>
      </c>
    </row>
    <row r="17" spans="1:14" x14ac:dyDescent="0.25">
      <c r="A17" s="9"/>
      <c r="B17" s="16">
        <v>1.2</v>
      </c>
      <c r="C17" s="1"/>
      <c r="D17" s="1"/>
      <c r="E17" s="1">
        <v>30</v>
      </c>
      <c r="F17" s="17"/>
      <c r="G17" s="17"/>
      <c r="H17" s="1">
        <v>30</v>
      </c>
      <c r="I17" s="1"/>
      <c r="J17" s="1"/>
      <c r="K17" s="1"/>
      <c r="L17" s="1"/>
      <c r="M17" s="1"/>
      <c r="N17" s="29">
        <f t="shared" si="1"/>
        <v>0</v>
      </c>
    </row>
    <row r="18" spans="1:14" x14ac:dyDescent="0.25">
      <c r="A18" s="9" t="s">
        <v>15</v>
      </c>
      <c r="B18" s="1"/>
      <c r="C18" s="1"/>
      <c r="D18" s="1"/>
      <c r="E18" s="1"/>
      <c r="F18" s="17"/>
      <c r="G18" s="17"/>
      <c r="H18" s="1"/>
      <c r="I18" s="1"/>
      <c r="J18" s="1"/>
      <c r="K18" s="1"/>
      <c r="L18" s="1"/>
      <c r="M18" s="1"/>
      <c r="N18" s="29">
        <f t="shared" si="1"/>
        <v>0</v>
      </c>
    </row>
    <row r="19" spans="1:14" x14ac:dyDescent="0.25">
      <c r="A19" s="9" t="s">
        <v>34</v>
      </c>
      <c r="B19" s="1"/>
      <c r="C19" s="1"/>
      <c r="D19" s="1"/>
      <c r="E19" s="12">
        <v>225</v>
      </c>
      <c r="F19" s="17"/>
      <c r="G19" s="17"/>
      <c r="H19" s="1"/>
      <c r="I19" s="1"/>
      <c r="J19" s="1"/>
      <c r="K19" s="1"/>
      <c r="L19" s="1"/>
      <c r="M19" s="1"/>
      <c r="N19" s="29">
        <f t="shared" si="1"/>
        <v>225</v>
      </c>
    </row>
    <row r="20" spans="1:14" x14ac:dyDescent="0.25">
      <c r="A20" s="9"/>
      <c r="B20" s="1"/>
      <c r="C20" s="1"/>
      <c r="D20" s="1"/>
      <c r="E20" s="1"/>
      <c r="F20" s="17"/>
      <c r="G20" s="17"/>
      <c r="H20" s="1"/>
      <c r="I20" s="1"/>
      <c r="J20" s="1"/>
      <c r="K20" s="1"/>
      <c r="L20" s="1"/>
      <c r="M20" s="1"/>
      <c r="N20" s="29">
        <f t="shared" si="1"/>
        <v>0</v>
      </c>
    </row>
    <row r="21" spans="1:14" x14ac:dyDescent="0.25">
      <c r="A21" s="9" t="s">
        <v>15</v>
      </c>
      <c r="B21" s="1"/>
      <c r="C21" s="1"/>
      <c r="D21" s="1"/>
      <c r="E21" s="1"/>
      <c r="F21" s="17"/>
      <c r="G21" s="17"/>
      <c r="H21" s="1"/>
      <c r="I21" s="1"/>
      <c r="J21" s="1"/>
      <c r="K21" s="1"/>
      <c r="L21" s="1"/>
      <c r="M21" s="1"/>
      <c r="N21" s="29">
        <f t="shared" si="1"/>
        <v>0</v>
      </c>
    </row>
    <row r="22" spans="1:14" x14ac:dyDescent="0.25">
      <c r="A22" s="9" t="s">
        <v>35</v>
      </c>
      <c r="B22" s="1"/>
      <c r="C22" s="1"/>
      <c r="D22" s="1"/>
      <c r="E22" s="12">
        <v>306</v>
      </c>
      <c r="F22" s="17"/>
      <c r="G22" s="17"/>
      <c r="H22" s="1"/>
      <c r="I22" s="1"/>
      <c r="J22" s="1"/>
      <c r="K22" s="1"/>
      <c r="L22" s="1"/>
      <c r="M22" s="1"/>
      <c r="N22" s="29">
        <f t="shared" si="1"/>
        <v>306</v>
      </c>
    </row>
    <row r="23" spans="1:14" x14ac:dyDescent="0.25">
      <c r="A23" s="9"/>
      <c r="B23" s="1"/>
      <c r="C23" s="1"/>
      <c r="D23" s="1"/>
      <c r="E23" s="1"/>
      <c r="F23" s="17"/>
      <c r="G23" s="17"/>
      <c r="H23" s="1"/>
      <c r="I23" s="1"/>
      <c r="J23" s="1"/>
      <c r="K23" s="1"/>
      <c r="L23" s="1"/>
      <c r="M23" s="1"/>
      <c r="N23" s="29">
        <f t="shared" si="1"/>
        <v>0</v>
      </c>
    </row>
    <row r="24" spans="1:14" x14ac:dyDescent="0.25">
      <c r="A24" s="9" t="s">
        <v>16</v>
      </c>
      <c r="B24" s="1"/>
      <c r="C24" s="1"/>
      <c r="D24" s="1"/>
      <c r="E24" s="1">
        <f>SUM(E18:E23)*2/2</f>
        <v>531</v>
      </c>
      <c r="F24" s="17"/>
      <c r="G24" s="17">
        <f>+E24*0.07</f>
        <v>37.17</v>
      </c>
      <c r="H24" s="1"/>
      <c r="I24" s="1"/>
      <c r="J24" s="1"/>
      <c r="K24" s="1"/>
      <c r="L24" s="1"/>
      <c r="M24" s="1"/>
      <c r="N24" s="29">
        <f t="shared" si="1"/>
        <v>531</v>
      </c>
    </row>
    <row r="25" spans="1:14" ht="5.25" customHeight="1" thickBot="1" x14ac:dyDescent="0.3">
      <c r="A25" s="6"/>
      <c r="G25" s="8"/>
    </row>
    <row r="26" spans="1:14" ht="15.75" thickBot="1" x14ac:dyDescent="0.3">
      <c r="A26" s="20" t="s">
        <v>21</v>
      </c>
      <c r="B26" s="18"/>
      <c r="C26" s="18"/>
      <c r="D26" s="18"/>
      <c r="E26" s="18"/>
      <c r="F26" s="18"/>
      <c r="G26" s="19">
        <f>+SUM(G11:G24)</f>
        <v>1359.2700000000002</v>
      </c>
    </row>
    <row r="28" spans="1:14" ht="18.75" x14ac:dyDescent="0.3">
      <c r="A28" s="23" t="s">
        <v>22</v>
      </c>
      <c r="B28" t="s">
        <v>26</v>
      </c>
    </row>
    <row r="29" spans="1:14" x14ac:dyDescent="0.25">
      <c r="B29" t="s">
        <v>27</v>
      </c>
    </row>
    <row r="30" spans="1:14" x14ac:dyDescent="0.25">
      <c r="B30" t="s">
        <v>28</v>
      </c>
    </row>
    <row r="31" spans="1:14" x14ac:dyDescent="0.25">
      <c r="B31" t="s">
        <v>29</v>
      </c>
    </row>
    <row r="33" spans="1:7" x14ac:dyDescent="0.25">
      <c r="A33" t="s">
        <v>30</v>
      </c>
      <c r="E33" t="s">
        <v>30</v>
      </c>
    </row>
    <row r="36" spans="1:7" x14ac:dyDescent="0.25">
      <c r="A36" s="24"/>
      <c r="E36" s="27"/>
      <c r="F36" s="27"/>
      <c r="G36" s="27"/>
    </row>
    <row r="37" spans="1:7" x14ac:dyDescent="0.25">
      <c r="A37" t="s">
        <v>23</v>
      </c>
      <c r="E37" s="26" t="s">
        <v>24</v>
      </c>
      <c r="F37" s="26"/>
      <c r="G37" s="26"/>
    </row>
    <row r="38" spans="1:7" x14ac:dyDescent="0.25">
      <c r="A38" t="s">
        <v>2</v>
      </c>
      <c r="E38" s="26" t="s">
        <v>25</v>
      </c>
      <c r="F38" s="26"/>
      <c r="G38" s="26"/>
    </row>
  </sheetData>
  <mergeCells count="3">
    <mergeCell ref="E37:G37"/>
    <mergeCell ref="E36:G36"/>
    <mergeCell ref="E38:G38"/>
  </mergeCells>
  <conditionalFormatting sqref="N11:N24">
    <cfRule type="cellIs" dxfId="0" priority="2" operator="greaterThan">
      <formula>0</formula>
    </cfRule>
    <cfRule type="cellIs" dxfId="1" priority="1" operator="equal">
      <formula>0</formula>
    </cfRule>
  </conditionalFormatting>
  <pageMargins left="0.7" right="0.7" top="0.75" bottom="0.75" header="0.3" footer="0.3"/>
  <pageSetup scale="73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DESPACHOS</vt:lpstr>
      <vt:lpstr>H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ALFOREQUIPOS</dc:creator>
  <cp:lastModifiedBy>almacen</cp:lastModifiedBy>
  <cp:lastPrinted>2014-08-02T13:40:26Z</cp:lastPrinted>
  <dcterms:created xsi:type="dcterms:W3CDTF">2013-04-25T19:39:38Z</dcterms:created>
  <dcterms:modified xsi:type="dcterms:W3CDTF">2026-07-06T14:39:12Z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2024-02-14T21:43:19Z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5cc05d8b-ef01-4430-ad42-9dc9872147f9</vt:lpwstr>
  </property>
  <property fmtid="{D5CDD505-2E9C-101B-9397-08002B2CF9AE}" pid="7" name="MSIP_Label_defa4170-0d19-0005-0004-bc88714345d2_ActionId">
    <vt:lpwstr>f696be61-26ab-40a1-b855-c59ec07fa44f</vt:lpwstr>
  </property>
  <property fmtid="{D5CDD505-2E9C-101B-9397-08002B2CF9AE}" pid="8" name="MSIP_Label_defa4170-0d19-0005-0004-bc88714345d2_ContentBits">
    <vt:lpwstr>0</vt:lpwstr>
  </property>
</Properties>
</file>