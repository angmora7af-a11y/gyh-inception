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33365E0-8BA6-4BC2-9CF2-4AEA1FCFEB9B}" xr6:coauthVersionLast="47" xr6:coauthVersionMax="47" xr10:uidLastSave="{00000000-0000-0000-0000-000000000000}"/>
  <bookViews>
    <workbookView xWindow="-120" yWindow="-120" windowWidth="20730" windowHeight="11040" tabRatio="858" activeTab="6" xr2:uid="{00000000-000D-0000-FFFF-FFFF00000000}"/>
  </bookViews>
  <sheets>
    <sheet name="OSCAR PINEDA" sheetId="40" r:id="rId1"/>
    <sheet name="MARIO MARTINEZ" sheetId="42" r:id="rId2"/>
    <sheet name="JOSE GUEVARA" sheetId="13" r:id="rId3"/>
    <sheet name="JIFFER NIETO" sheetId="43" r:id="rId4"/>
    <sheet name="WILSON MARTINEZ" sheetId="44" r:id="rId5"/>
    <sheet name="PESO" sheetId="6" r:id="rId6"/>
    <sheet name="CONSOLIDADO" sheetId="18" r:id="rId7"/>
    <sheet name="PESOS EQUI - ALFOR" sheetId="2" state="hidden" r:id="rId8"/>
    <sheet name="PESO FT" sheetId="4" state="hidden" r:id="rId9"/>
    <sheet name="PESO FM" sheetId="1" state="hidden" r:id="rId10"/>
  </sheets>
  <definedNames>
    <definedName name="_xlnm._FilterDatabase" localSheetId="5" hidden="1">PESO!$A$2:$D$448</definedName>
    <definedName name="_xlnm._FilterDatabase" localSheetId="7" hidden="1">'PESOS EQUI - ALFOR'!$A$1:$B$203</definedName>
    <definedName name="_xlnm.Print_Area" localSheetId="7">'PESOS EQUI - ALFOR'!$A$1:$E$32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4" l="1"/>
  <c r="E6" i="44"/>
  <c r="E7" i="44"/>
  <c r="E8" i="44"/>
  <c r="E9" i="44"/>
  <c r="E10" i="44"/>
  <c r="E11" i="44"/>
  <c r="E12" i="44"/>
  <c r="E13" i="44"/>
  <c r="E14" i="44"/>
  <c r="E15" i="44"/>
  <c r="E16" i="44"/>
  <c r="E17" i="44"/>
  <c r="E18" i="44"/>
  <c r="E19" i="44"/>
  <c r="E20" i="44"/>
  <c r="E21" i="44"/>
  <c r="E22" i="44"/>
  <c r="E23" i="44"/>
  <c r="E24" i="44"/>
  <c r="F24" i="44" s="1"/>
  <c r="E25" i="44"/>
  <c r="E26" i="44"/>
  <c r="E27" i="44"/>
  <c r="E4" i="44"/>
  <c r="E5" i="43"/>
  <c r="E6" i="43"/>
  <c r="E7" i="43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4" i="4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4" i="13"/>
  <c r="E5" i="42"/>
  <c r="E6" i="42"/>
  <c r="E7" i="42"/>
  <c r="E8" i="42"/>
  <c r="E9" i="42"/>
  <c r="E10" i="42"/>
  <c r="E11" i="42"/>
  <c r="E12" i="42"/>
  <c r="E13" i="42"/>
  <c r="E14" i="42"/>
  <c r="E15" i="42"/>
  <c r="E16" i="42"/>
  <c r="E17" i="42"/>
  <c r="E18" i="42"/>
  <c r="E19" i="42"/>
  <c r="E20" i="42"/>
  <c r="E21" i="42"/>
  <c r="E22" i="42"/>
  <c r="E23" i="42"/>
  <c r="E24" i="42"/>
  <c r="E25" i="42"/>
  <c r="E26" i="42"/>
  <c r="E27" i="42"/>
  <c r="E28" i="42"/>
  <c r="E29" i="42"/>
  <c r="E30" i="42"/>
  <c r="E31" i="42"/>
  <c r="E32" i="42"/>
  <c r="E4" i="42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4" i="40"/>
  <c r="D7" i="43"/>
  <c r="F26" i="43"/>
  <c r="F29" i="13"/>
  <c r="F29" i="42"/>
  <c r="D21" i="44"/>
  <c r="D22" i="44"/>
  <c r="D23" i="44"/>
  <c r="F23" i="44"/>
  <c r="D24" i="44"/>
  <c r="D25" i="44"/>
  <c r="F25" i="44"/>
  <c r="D26" i="44"/>
  <c r="F26" i="44"/>
  <c r="D27" i="44"/>
  <c r="F27" i="44" s="1"/>
  <c r="F25" i="43"/>
  <c r="D17" i="43"/>
  <c r="D8" i="44"/>
  <c r="D9" i="13"/>
  <c r="D6" i="43"/>
  <c r="D21" i="43"/>
  <c r="D22" i="43"/>
  <c r="D23" i="43"/>
  <c r="F23" i="43" s="1"/>
  <c r="D24" i="43"/>
  <c r="D25" i="43"/>
  <c r="D26" i="43"/>
  <c r="D27" i="43"/>
  <c r="D5" i="43"/>
  <c r="D300" i="6"/>
  <c r="D29" i="13"/>
  <c r="D30" i="13"/>
  <c r="D339" i="6"/>
  <c r="D8" i="43"/>
  <c r="D9" i="43"/>
  <c r="D10" i="43"/>
  <c r="D11" i="43"/>
  <c r="D12" i="43"/>
  <c r="D13" i="43"/>
  <c r="D14" i="43"/>
  <c r="D15" i="43"/>
  <c r="D16" i="43"/>
  <c r="D7" i="13"/>
  <c r="D8" i="13"/>
  <c r="D10" i="13"/>
  <c r="D11" i="13"/>
  <c r="D12" i="13"/>
  <c r="D5" i="42"/>
  <c r="D25" i="40"/>
  <c r="D26" i="40"/>
  <c r="D27" i="40"/>
  <c r="D28" i="40"/>
  <c r="D29" i="40"/>
  <c r="F29" i="40"/>
  <c r="D30" i="40"/>
  <c r="F30" i="40"/>
  <c r="D31" i="40"/>
  <c r="F31" i="40"/>
  <c r="D20" i="40"/>
  <c r="D21" i="40"/>
  <c r="D22" i="40"/>
  <c r="D23" i="40"/>
  <c r="D24" i="40"/>
  <c r="D22" i="42"/>
  <c r="D20" i="44"/>
  <c r="D19" i="44"/>
  <c r="F19" i="44" s="1"/>
  <c r="D18" i="44"/>
  <c r="F18" i="44" s="1"/>
  <c r="D17" i="44"/>
  <c r="D16" i="44"/>
  <c r="D15" i="44"/>
  <c r="D14" i="44"/>
  <c r="D13" i="44"/>
  <c r="D12" i="44"/>
  <c r="D11" i="44"/>
  <c r="D10" i="44"/>
  <c r="D9" i="44"/>
  <c r="D7" i="44"/>
  <c r="D6" i="44"/>
  <c r="D5" i="44"/>
  <c r="D4" i="44"/>
  <c r="D18" i="43"/>
  <c r="D19" i="43"/>
  <c r="D20" i="43"/>
  <c r="D25" i="42"/>
  <c r="D26" i="42"/>
  <c r="D27" i="42"/>
  <c r="D28" i="42"/>
  <c r="D29" i="42"/>
  <c r="D30" i="42"/>
  <c r="F30" i="42"/>
  <c r="D31" i="42"/>
  <c r="F31" i="42"/>
  <c r="D32" i="42"/>
  <c r="F32" i="42"/>
  <c r="D21" i="42"/>
  <c r="D23" i="42"/>
  <c r="D24" i="42"/>
  <c r="D25" i="13"/>
  <c r="D26" i="13"/>
  <c r="D23" i="13"/>
  <c r="D24" i="13"/>
  <c r="D22" i="13"/>
  <c r="D27" i="13"/>
  <c r="D28" i="13"/>
  <c r="D31" i="13"/>
  <c r="D17" i="13"/>
  <c r="D15" i="13"/>
  <c r="D16" i="13"/>
  <c r="D18" i="13"/>
  <c r="D19" i="13"/>
  <c r="D20" i="13"/>
  <c r="D21" i="13"/>
  <c r="F20" i="44" l="1"/>
  <c r="F24" i="43"/>
  <c r="F27" i="43"/>
  <c r="F21" i="42"/>
  <c r="F22" i="43"/>
  <c r="F22" i="44"/>
  <c r="F21" i="44"/>
  <c r="F9" i="44"/>
  <c r="F19" i="43"/>
  <c r="F17" i="44"/>
  <c r="F8" i="44"/>
  <c r="F11" i="44"/>
  <c r="F21" i="43"/>
  <c r="F15" i="44"/>
  <c r="F20" i="43"/>
  <c r="F14" i="44"/>
  <c r="F27" i="40"/>
  <c r="F18" i="43"/>
  <c r="F16" i="44"/>
  <c r="F13" i="44"/>
  <c r="F12" i="44"/>
  <c r="F28" i="40"/>
  <c r="F5" i="44"/>
  <c r="F22" i="13"/>
  <c r="F16" i="13"/>
  <c r="F30" i="13"/>
  <c r="F26" i="40"/>
  <c r="F25" i="40"/>
  <c r="F24" i="40"/>
  <c r="F23" i="40"/>
  <c r="F17" i="43"/>
  <c r="F23" i="42"/>
  <c r="F20" i="40"/>
  <c r="F22" i="40"/>
  <c r="F21" i="40"/>
  <c r="F28" i="42"/>
  <c r="F25" i="13"/>
  <c r="F23" i="13"/>
  <c r="F27" i="42"/>
  <c r="F19" i="13"/>
  <c r="F26" i="42"/>
  <c r="F25" i="42"/>
  <c r="F24" i="42"/>
  <c r="F22" i="42"/>
  <c r="F10" i="44"/>
  <c r="F6" i="44"/>
  <c r="F7" i="44"/>
  <c r="F4" i="44"/>
  <c r="D28" i="44"/>
  <c r="B6" i="18" s="1"/>
  <c r="F18" i="13"/>
  <c r="F31" i="13"/>
  <c r="F24" i="13"/>
  <c r="F21" i="13"/>
  <c r="F28" i="13"/>
  <c r="F20" i="13"/>
  <c r="F15" i="13"/>
  <c r="F27" i="13"/>
  <c r="F26" i="13"/>
  <c r="F17" i="13"/>
  <c r="D52" i="6"/>
  <c r="D27" i="6"/>
  <c r="F28" i="44" l="1"/>
  <c r="C6" i="18" s="1"/>
  <c r="D4" i="43"/>
  <c r="D178" i="6"/>
  <c r="D13" i="13"/>
  <c r="D14" i="13"/>
  <c r="F8" i="43" l="1"/>
  <c r="F12" i="43"/>
  <c r="F16" i="43"/>
  <c r="F14" i="43"/>
  <c r="F5" i="43"/>
  <c r="F7" i="43"/>
  <c r="F14" i="13"/>
  <c r="D28" i="43"/>
  <c r="B5" i="18" s="1"/>
  <c r="F13" i="43"/>
  <c r="F15" i="43"/>
  <c r="F13" i="13"/>
  <c r="F11" i="43"/>
  <c r="F9" i="43"/>
  <c r="F4" i="43"/>
  <c r="F6" i="43"/>
  <c r="F10" i="43"/>
  <c r="D442" i="6"/>
  <c r="D299" i="6"/>
  <c r="D272" i="6"/>
  <c r="D230" i="6"/>
  <c r="D173" i="6"/>
  <c r="D83" i="6"/>
  <c r="D301" i="6"/>
  <c r="D238" i="6"/>
  <c r="D446" i="6"/>
  <c r="D298" i="6"/>
  <c r="D15" i="40"/>
  <c r="D16" i="40"/>
  <c r="D17" i="40"/>
  <c r="D18" i="40"/>
  <c r="D19" i="40"/>
  <c r="D127" i="6"/>
  <c r="D126" i="6"/>
  <c r="D297" i="6"/>
  <c r="D296" i="6"/>
  <c r="D14" i="40"/>
  <c r="D434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71" i="6"/>
  <c r="D87" i="6"/>
  <c r="D433" i="6"/>
  <c r="F28" i="43" l="1"/>
  <c r="C5" i="18" s="1"/>
  <c r="F19" i="40"/>
  <c r="F16" i="40"/>
  <c r="F17" i="40"/>
  <c r="F15" i="40"/>
  <c r="F18" i="40"/>
  <c r="F14" i="40"/>
  <c r="D236" i="6" l="1"/>
  <c r="D239" i="6"/>
  <c r="D237" i="6"/>
  <c r="D262" i="6"/>
  <c r="D183" i="6" l="1"/>
  <c r="D438" i="6"/>
  <c r="D78" i="6"/>
  <c r="D175" i="6"/>
  <c r="D18" i="42" l="1"/>
  <c r="D19" i="42"/>
  <c r="D20" i="42"/>
  <c r="D130" i="6"/>
  <c r="D131" i="6"/>
  <c r="F20" i="42" l="1"/>
  <c r="F19" i="42"/>
  <c r="F18" i="42"/>
  <c r="D5" i="13"/>
  <c r="D6" i="13"/>
  <c r="D4" i="13"/>
  <c r="D17" i="42"/>
  <c r="D16" i="42"/>
  <c r="D15" i="42"/>
  <c r="D14" i="42"/>
  <c r="D13" i="42"/>
  <c r="D12" i="42"/>
  <c r="D11" i="42"/>
  <c r="D10" i="42"/>
  <c r="D9" i="42"/>
  <c r="D8" i="42"/>
  <c r="D7" i="42"/>
  <c r="D6" i="42"/>
  <c r="D4" i="42"/>
  <c r="D33" i="42" l="1"/>
  <c r="D32" i="13"/>
  <c r="B4" i="18" s="1"/>
  <c r="D293" i="6" l="1"/>
  <c r="D279" i="6"/>
  <c r="D277" i="6"/>
  <c r="D276" i="6"/>
  <c r="D278" i="6"/>
  <c r="D284" i="6"/>
  <c r="D275" i="6"/>
  <c r="D281" i="6"/>
  <c r="D288" i="6"/>
  <c r="D291" i="6"/>
  <c r="D290" i="6"/>
  <c r="D285" i="6"/>
  <c r="D287" i="6"/>
  <c r="D292" i="6"/>
  <c r="D273" i="6"/>
  <c r="D289" i="6"/>
  <c r="D280" i="6"/>
  <c r="D283" i="6"/>
  <c r="D26" i="6"/>
  <c r="D294" i="6"/>
  <c r="D41" i="6" l="1"/>
  <c r="D182" i="6"/>
  <c r="D4" i="40"/>
  <c r="F4" i="40" s="1"/>
  <c r="D5" i="40"/>
  <c r="D6" i="40"/>
  <c r="D7" i="40"/>
  <c r="D8" i="40"/>
  <c r="D9" i="40"/>
  <c r="D10" i="40"/>
  <c r="D11" i="40"/>
  <c r="D12" i="40"/>
  <c r="D13" i="40"/>
  <c r="D32" i="40" l="1"/>
  <c r="F17" i="42"/>
  <c r="F16" i="42"/>
  <c r="F15" i="42"/>
  <c r="F12" i="13"/>
  <c r="F12" i="42"/>
  <c r="F11" i="42"/>
  <c r="F13" i="42"/>
  <c r="F14" i="42"/>
  <c r="D124" i="6"/>
  <c r="D125" i="6"/>
  <c r="D6" i="6" l="1"/>
  <c r="D65" i="6"/>
  <c r="D256" i="6"/>
  <c r="D257" i="6"/>
  <c r="D206" i="6"/>
  <c r="D57" i="6" l="1"/>
  <c r="D61" i="6"/>
  <c r="D208" i="6"/>
  <c r="D67" i="6" l="1"/>
  <c r="D64" i="6"/>
  <c r="D259" i="6"/>
  <c r="D3" i="6" l="1"/>
  <c r="D223" i="6"/>
  <c r="D224" i="6"/>
  <c r="D228" i="6"/>
  <c r="D227" i="6"/>
  <c r="D226" i="6"/>
  <c r="D96" i="6"/>
  <c r="D99" i="6"/>
  <c r="D97" i="6"/>
  <c r="D260" i="6" l="1"/>
  <c r="D258" i="6" l="1"/>
  <c r="D20" i="6" l="1"/>
  <c r="D172" i="6"/>
  <c r="D171" i="6"/>
  <c r="F13" i="40" l="1"/>
  <c r="F12" i="40"/>
  <c r="F10" i="42"/>
  <c r="F9" i="42" l="1"/>
  <c r="F8" i="42" l="1"/>
  <c r="D217" i="6" l="1"/>
  <c r="D229" i="6" l="1"/>
  <c r="D225" i="6"/>
  <c r="F7" i="42" l="1"/>
  <c r="F6" i="42"/>
  <c r="D216" i="6" l="1"/>
  <c r="D58" i="6" l="1"/>
  <c r="D56" i="6"/>
  <c r="D54" i="6"/>
  <c r="D55" i="6"/>
  <c r="D59" i="6"/>
  <c r="D60" i="6"/>
  <c r="D62" i="6"/>
  <c r="D245" i="6" l="1"/>
  <c r="D246" i="6"/>
  <c r="D253" i="6"/>
  <c r="D104" i="6" l="1"/>
  <c r="D106" i="6"/>
  <c r="D112" i="6"/>
  <c r="D249" i="6" l="1"/>
  <c r="D255" i="6" l="1"/>
  <c r="D10" i="6" l="1"/>
  <c r="D12" i="6"/>
  <c r="D14" i="6"/>
  <c r="D13" i="6"/>
  <c r="D16" i="6"/>
  <c r="D17" i="6"/>
  <c r="D18" i="6"/>
  <c r="D28" i="6"/>
  <c r="D29" i="6"/>
  <c r="D31" i="6"/>
  <c r="D33" i="6" l="1"/>
  <c r="D36" i="6"/>
  <c r="D37" i="6"/>
  <c r="D38" i="6"/>
  <c r="D39" i="6"/>
  <c r="D42" i="6"/>
  <c r="D45" i="6"/>
  <c r="D46" i="6"/>
  <c r="D32" i="6" l="1"/>
  <c r="D98" i="6" l="1"/>
  <c r="D101" i="6"/>
  <c r="D19" i="6"/>
  <c r="D251" i="6"/>
  <c r="D93" i="6"/>
  <c r="D95" i="6"/>
  <c r="D100" i="6"/>
  <c r="D103" i="6"/>
  <c r="D81" i="6"/>
  <c r="D48" i="6"/>
  <c r="D53" i="6" l="1"/>
  <c r="D51" i="6"/>
  <c r="D205" i="6" l="1"/>
  <c r="D66" i="6" l="1"/>
  <c r="D82" i="6" l="1"/>
  <c r="D254" i="6" l="1"/>
  <c r="D444" i="6"/>
  <c r="D233" i="6"/>
  <c r="F4" i="42" l="1"/>
  <c r="F5" i="42"/>
  <c r="F33" i="42" l="1"/>
  <c r="F4" i="13"/>
  <c r="F5" i="13"/>
  <c r="F6" i="13"/>
  <c r="F7" i="13"/>
  <c r="F8" i="13"/>
  <c r="F9" i="13"/>
  <c r="B2" i="18" l="1"/>
  <c r="F11" i="40"/>
  <c r="F11" i="13"/>
  <c r="F7" i="40"/>
  <c r="F9" i="40"/>
  <c r="F10" i="13"/>
  <c r="F8" i="40"/>
  <c r="F10" i="40"/>
  <c r="F6" i="40"/>
  <c r="F5" i="40"/>
  <c r="F32" i="13" l="1"/>
  <c r="C4" i="18" s="1"/>
  <c r="F32" i="40"/>
  <c r="C2" i="18" s="1"/>
  <c r="B3" i="18"/>
  <c r="C3" i="18" l="1"/>
  <c r="C7" i="18" s="1"/>
  <c r="C222" i="6" l="1"/>
  <c r="D214" i="6" l="1"/>
  <c r="D436" i="6" l="1"/>
  <c r="D265" i="6" l="1"/>
  <c r="D165" i="6"/>
  <c r="D85" i="6" l="1"/>
  <c r="D86" i="6"/>
  <c r="D21" i="6" l="1"/>
  <c r="D22" i="6"/>
  <c r="D34" i="6"/>
  <c r="D231" i="6" l="1"/>
  <c r="D129" i="6" l="1"/>
  <c r="D169" i="6" l="1"/>
  <c r="D248" i="6"/>
  <c r="D252" i="6" l="1"/>
  <c r="D267" i="6" l="1"/>
  <c r="D63" i="6"/>
  <c r="D427" i="6" l="1"/>
  <c r="D204" i="6"/>
  <c r="D306" i="6" l="1"/>
  <c r="D269" i="6"/>
  <c r="D170" i="6" l="1"/>
  <c r="D264" i="6" l="1"/>
  <c r="D68" i="6" l="1"/>
  <c r="D286" i="6"/>
  <c r="D270" i="6"/>
  <c r="D218" i="6"/>
  <c r="D295" i="6"/>
  <c r="D244" i="6"/>
  <c r="D24" i="6" l="1"/>
  <c r="D25" i="6"/>
  <c r="D430" i="6"/>
  <c r="D250" i="6" l="1"/>
  <c r="D40" i="6" l="1"/>
  <c r="D44" i="6"/>
  <c r="D240" i="6" l="1"/>
  <c r="D220" i="6"/>
  <c r="D215" i="6"/>
  <c r="D210" i="6" l="1"/>
  <c r="D428" i="6"/>
  <c r="D429" i="6"/>
  <c r="D209" i="6"/>
  <c r="D72" i="6"/>
  <c r="D73" i="6"/>
  <c r="D133" i="6" l="1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49" i="6"/>
  <c r="D132" i="6"/>
  <c r="D107" i="6"/>
  <c r="D128" i="6"/>
  <c r="D123" i="6"/>
  <c r="D122" i="6"/>
  <c r="D121" i="6"/>
  <c r="D120" i="6"/>
  <c r="D119" i="6"/>
  <c r="D118" i="6"/>
  <c r="D15" i="6" l="1"/>
  <c r="D11" i="6"/>
  <c r="D9" i="6"/>
  <c r="D8" i="6"/>
  <c r="D7" i="6"/>
  <c r="D241" i="6"/>
  <c r="D5" i="6"/>
  <c r="D76" i="6" l="1"/>
  <c r="D77" i="6"/>
  <c r="D75" i="6"/>
  <c r="D222" i="6" l="1"/>
  <c r="D440" i="6" l="1"/>
  <c r="D441" i="6"/>
  <c r="D443" i="6"/>
  <c r="D445" i="6"/>
  <c r="D211" i="6"/>
  <c r="D212" i="6"/>
  <c r="D213" i="6"/>
  <c r="D179" i="6"/>
  <c r="D177" i="6"/>
  <c r="D176" i="6"/>
  <c r="D84" i="6"/>
  <c r="D247" i="6"/>
  <c r="D69" i="6"/>
  <c r="D181" i="6"/>
  <c r="D180" i="6"/>
  <c r="D437" i="6"/>
  <c r="D4" i="6"/>
  <c r="D432" i="6"/>
  <c r="D243" i="6"/>
  <c r="D234" i="6"/>
  <c r="D235" i="6"/>
  <c r="D88" i="6"/>
  <c r="D174" i="6"/>
  <c r="D79" i="6"/>
  <c r="D50" i="6"/>
  <c r="D70" i="6"/>
  <c r="D207" i="6"/>
  <c r="D302" i="6"/>
  <c r="D89" i="6"/>
  <c r="D263" i="6"/>
  <c r="D198" i="6"/>
  <c r="D199" i="6"/>
  <c r="D200" i="6"/>
  <c r="D201" i="6"/>
  <c r="D202" i="6"/>
  <c r="D203" i="6"/>
  <c r="D185" i="6"/>
  <c r="D186" i="6"/>
  <c r="D187" i="6"/>
  <c r="D188" i="6"/>
  <c r="D189" i="6"/>
  <c r="D431" i="6"/>
  <c r="D197" i="6"/>
  <c r="D196" i="6"/>
  <c r="D195" i="6"/>
  <c r="D194" i="6"/>
  <c r="D193" i="6"/>
  <c r="D192" i="6"/>
  <c r="D191" i="6"/>
  <c r="D190" i="6"/>
  <c r="D164" i="6" l="1"/>
  <c r="D80" i="6" l="1"/>
  <c r="D435" i="6"/>
  <c r="D166" i="6"/>
  <c r="D167" i="6"/>
  <c r="D168" i="6"/>
  <c r="D266" i="6"/>
  <c r="D219" i="6"/>
  <c r="D268" i="6"/>
  <c r="D184" i="6" l="1"/>
  <c r="D282" i="6"/>
  <c r="D274" i="6"/>
  <c r="D271" i="6"/>
  <c r="D49" i="6"/>
  <c r="D47" i="6"/>
  <c r="D43" i="6"/>
  <c r="D35" i="6"/>
  <c r="D30" i="6"/>
  <c r="D90" i="6"/>
  <c r="D91" i="6"/>
  <c r="D92" i="6"/>
  <c r="D94" i="6"/>
  <c r="D102" i="6"/>
  <c r="D105" i="6"/>
  <c r="D108" i="6"/>
  <c r="D109" i="6"/>
  <c r="D110" i="6"/>
  <c r="D111" i="6"/>
  <c r="D113" i="6"/>
  <c r="D114" i="6"/>
  <c r="D115" i="6"/>
  <c r="D116" i="6"/>
  <c r="D117" i="6"/>
  <c r="D221" i="6"/>
  <c r="D303" i="6"/>
  <c r="D74" i="6"/>
  <c r="D232" i="6"/>
  <c r="D242" i="6"/>
  <c r="D305" i="6"/>
  <c r="D304" i="6"/>
  <c r="D439" i="6"/>
  <c r="D261" i="6" l="1"/>
  <c r="D447" i="6" s="1"/>
</calcChain>
</file>

<file path=xl/sharedStrings.xml><?xml version="1.0" encoding="utf-8"?>
<sst xmlns="http://schemas.openxmlformats.org/spreadsheetml/2006/main" count="959" uniqueCount="584">
  <si>
    <t>CANTIDAD</t>
  </si>
  <si>
    <t>PESO Kg</t>
  </si>
  <si>
    <t>TORNILLO NIVELADOR</t>
  </si>
  <si>
    <t>BASE COLLAR</t>
  </si>
  <si>
    <t>PLATAFORMA 0,30X1,40</t>
  </si>
  <si>
    <t>PLATAFORMA 0,60x3,00</t>
  </si>
  <si>
    <t>PLATAFORMA 0,60X2,00</t>
  </si>
  <si>
    <t>PLATAFORMA 0,60x1,40</t>
  </si>
  <si>
    <t>BARANDAS ESPALDAR 3M</t>
  </si>
  <si>
    <t>BARANDAS ESPALDAR 2M</t>
  </si>
  <si>
    <t>BARANDA PASAMANOS 3M</t>
  </si>
  <si>
    <t>ESCALERA 2,20m</t>
  </si>
  <si>
    <t>ESCALERA TIPO GATO</t>
  </si>
  <si>
    <t>TUBO DE ARRIOSTRAMIENTO</t>
  </si>
  <si>
    <t>ABRAZADERA GIRATORIA</t>
  </si>
  <si>
    <t>ABRAZADERA FIJA</t>
  </si>
  <si>
    <t xml:space="preserve">CERCHA </t>
  </si>
  <si>
    <t>RUEDA AMD</t>
  </si>
  <si>
    <t>TORNILLO MARIPOSA (PARA BARANDA)</t>
  </si>
  <si>
    <t>PIN EN L (PARA ESCALERA T2.20)</t>
  </si>
  <si>
    <t>DESCRIPCION</t>
  </si>
  <si>
    <t>PARAL ENANO</t>
  </si>
  <si>
    <t>PARAL CORTO</t>
  </si>
  <si>
    <t>PARAL LARGO</t>
  </si>
  <si>
    <t>PARAL EXTRALARGO</t>
  </si>
  <si>
    <t>PARAL SUPER EXTRALARGO</t>
  </si>
  <si>
    <t>CERCHA</t>
  </si>
  <si>
    <t>CRUCETA CORTA</t>
  </si>
  <si>
    <t>CRUCETA LARGA</t>
  </si>
  <si>
    <t xml:space="preserve">CAMILLA DE MADERA </t>
  </si>
  <si>
    <t xml:space="preserve">ANDAMIO TUBULAR </t>
  </si>
  <si>
    <t>ESCALERA ANDAMIO</t>
  </si>
  <si>
    <t>CRUCETA DE ANDAMIO</t>
  </si>
  <si>
    <t xml:space="preserve">ANDAMIO COLGANTE </t>
  </si>
  <si>
    <t>SACA CORBATAS</t>
  </si>
  <si>
    <t>RINCONERAS 1,20*0,15*0,15</t>
  </si>
  <si>
    <t>PALOMERA</t>
  </si>
  <si>
    <t xml:space="preserve">COMPRESOR </t>
  </si>
  <si>
    <t>FORMACLAM</t>
  </si>
  <si>
    <t>PESO Kg 
Unidad</t>
  </si>
  <si>
    <t>ELEMENTOS AMD</t>
  </si>
  <si>
    <t>Grapa o Chapeta</t>
  </si>
  <si>
    <t xml:space="preserve">Angulo </t>
  </si>
  <si>
    <t>Tensor o Mordaza</t>
  </si>
  <si>
    <t>Alineador</t>
  </si>
  <si>
    <t>Pin</t>
  </si>
  <si>
    <t>Pin-Chapeta</t>
  </si>
  <si>
    <t>Corbata</t>
  </si>
  <si>
    <t>Pico Manual</t>
  </si>
  <si>
    <t>Tubo Manual</t>
  </si>
  <si>
    <t>Martillo Extractor</t>
  </si>
  <si>
    <t>Saca Modulos</t>
  </si>
  <si>
    <t>Caja metálica</t>
  </si>
  <si>
    <t>Andamio Triangular ó Palomera</t>
  </si>
  <si>
    <t>Pico Manual ó Guía</t>
  </si>
  <si>
    <t>Tubo Manual ó Sacapin</t>
  </si>
  <si>
    <t>Saca-Módulos</t>
  </si>
  <si>
    <t>TOTAL PESO
 (Kg)</t>
  </si>
  <si>
    <t>VERTICAL CON ESPIGO 0,50mtr</t>
  </si>
  <si>
    <t>VERTICAL CON ESPIGO 1,00mtr</t>
  </si>
  <si>
    <t>VERTICAL CON ESPIGO 2,00mtr</t>
  </si>
  <si>
    <t>VERTICAL SIN ESPIGO 0,50mtr</t>
  </si>
  <si>
    <t>VERTICAL SIN ESPIGO 1,0mtr</t>
  </si>
  <si>
    <t>VERTICAL SIN ESPIGO 2,00mtr</t>
  </si>
  <si>
    <t xml:space="preserve">HORIZONTAL 0,70 mtr </t>
  </si>
  <si>
    <t>HORIZONTAL 1,40 mtr</t>
  </si>
  <si>
    <t>HORIZONTAL 2,00 mtr</t>
  </si>
  <si>
    <t>HORIZONTAL 3,00 mtr</t>
  </si>
  <si>
    <t>DIAGONAL  3,50 mtr</t>
  </si>
  <si>
    <t>DIAGONAL 2,40 mtr</t>
  </si>
  <si>
    <t>DIAGONAL  2,8 mtr</t>
  </si>
  <si>
    <t>Rinconera 0,15*0,15*1,20</t>
  </si>
  <si>
    <t>Rinconera 0,15*0,15*0,60</t>
  </si>
  <si>
    <t>Rinconera 0,10*0,10*1,20</t>
  </si>
  <si>
    <t>Tablero 0,595*1,20</t>
  </si>
  <si>
    <t>Tablero 0,600*1,20</t>
  </si>
  <si>
    <t>Tablero 0,590*1,20</t>
  </si>
  <si>
    <t>Tablero 0,585*1,20</t>
  </si>
  <si>
    <t>Tablero 0,580*1,20</t>
  </si>
  <si>
    <t>Tablero 0,575*1,20</t>
  </si>
  <si>
    <t>Tablero 0,570*1,20</t>
  </si>
  <si>
    <t>Tablero 0,565*1,20</t>
  </si>
  <si>
    <t>Tablero 0,560*1,20</t>
  </si>
  <si>
    <t>Tablero 0,555*1,20</t>
  </si>
  <si>
    <t>Tablero 0,550*1,20</t>
  </si>
  <si>
    <t>Tablero 0,545*1,20</t>
  </si>
  <si>
    <t>Tablero 0,540*1,20</t>
  </si>
  <si>
    <t>Tablero 0,535*1,20</t>
  </si>
  <si>
    <t>Tablero 0,530*1,20</t>
  </si>
  <si>
    <t>Tablero 0,525*1,20</t>
  </si>
  <si>
    <t>Tablero 0,520*1,20</t>
  </si>
  <si>
    <t>Tablero 0,515*1,20</t>
  </si>
  <si>
    <t>Tablero 0,510*1,20</t>
  </si>
  <si>
    <t>Tablero 0,505*1,20</t>
  </si>
  <si>
    <t>Tablero 0,500*1,20</t>
  </si>
  <si>
    <t>Tablero 0,495*1,20</t>
  </si>
  <si>
    <t>Tablero 0,490*1,20</t>
  </si>
  <si>
    <t>Tablero 0,485*1,20</t>
  </si>
  <si>
    <t>Tablero 0,480*1,20</t>
  </si>
  <si>
    <t>Tablero 0,475*1,20</t>
  </si>
  <si>
    <t>Tablero 0,470*1,20</t>
  </si>
  <si>
    <t>Tablero 0,465*1,20</t>
  </si>
  <si>
    <t>Tablero 0,460*1,20</t>
  </si>
  <si>
    <t>Tablero 0,455*1,20</t>
  </si>
  <si>
    <t>Tablero 0,450*1,20</t>
  </si>
  <si>
    <t>Tablero 0,445*1,20</t>
  </si>
  <si>
    <t>Tablero 0,440*1,20</t>
  </si>
  <si>
    <t>Tablero 0,435*1,20</t>
  </si>
  <si>
    <t>Tablero 0,405*1,20</t>
  </si>
  <si>
    <t>Tablero 0,430*1,20</t>
  </si>
  <si>
    <t>Tablero 0,425*1,20</t>
  </si>
  <si>
    <t>Tablero 0,420*1,20</t>
  </si>
  <si>
    <t>Tablero 0,415*1,20</t>
  </si>
  <si>
    <t>Tablero 0,410*1,20</t>
  </si>
  <si>
    <t>Tablero 0,400*1,20</t>
  </si>
  <si>
    <t>Tablero 0,395*1,20</t>
  </si>
  <si>
    <t>Tablero 0,390*1,20</t>
  </si>
  <si>
    <t>Tablero 0,385*1,20</t>
  </si>
  <si>
    <t>Tablero 0,380*1,20</t>
  </si>
  <si>
    <t>Tablero 0,375*1,20</t>
  </si>
  <si>
    <t>Tablero 0,370*1,20</t>
  </si>
  <si>
    <t>Tablero 0,365*1,20</t>
  </si>
  <si>
    <t>Tablero 0,360*1,20</t>
  </si>
  <si>
    <t>Tablero 0,355*1,20</t>
  </si>
  <si>
    <t>Tablero 0,350*1,20</t>
  </si>
  <si>
    <t>Tablero 0,345*1,20</t>
  </si>
  <si>
    <t>Tablero 0,340*1,20</t>
  </si>
  <si>
    <t>Tablero 0,335*1,20</t>
  </si>
  <si>
    <t>Tablero 0,330*1,20</t>
  </si>
  <si>
    <t>Tablero 0,325*1,20</t>
  </si>
  <si>
    <t>Tablero 0,320*1,20</t>
  </si>
  <si>
    <t>Tablero 0,315*1,20</t>
  </si>
  <si>
    <t>Tablero 0,310*1,20</t>
  </si>
  <si>
    <t>Tablero 0,290*1,20</t>
  </si>
  <si>
    <t>Tablero 0,295*1,20</t>
  </si>
  <si>
    <t>Tablero 0,280*1,20</t>
  </si>
  <si>
    <t>Tablero 0,285*1,20</t>
  </si>
  <si>
    <t>Tablero 0,275*1,20</t>
  </si>
  <si>
    <t>Tablero 0,270*1,20</t>
  </si>
  <si>
    <t>Tablero 0,265*1,20</t>
  </si>
  <si>
    <t>Tablero 0,260*1,20</t>
  </si>
  <si>
    <t>Tablero 0,255*1,20</t>
  </si>
  <si>
    <t>Tablero 0,250*1,20</t>
  </si>
  <si>
    <t>Tablero 0,245*1,20</t>
  </si>
  <si>
    <t>Tablero 0,240*1,20</t>
  </si>
  <si>
    <t>Tablero 0,235*1,20</t>
  </si>
  <si>
    <t>Tablero 0,230*1,20</t>
  </si>
  <si>
    <t>Tablero 0,225*1,20</t>
  </si>
  <si>
    <t>Tablero 0,220*1,20</t>
  </si>
  <si>
    <t>Tablero 0,215*1,20</t>
  </si>
  <si>
    <t>Tablero 0,210*1,20</t>
  </si>
  <si>
    <t>Tablero 0,205*1,20</t>
  </si>
  <si>
    <t>Tablero 0,200*1,20</t>
  </si>
  <si>
    <t>Tablero 0,195*1,20</t>
  </si>
  <si>
    <t>Tablero 0,190*1,20</t>
  </si>
  <si>
    <t>Tablero 0,185*1,20</t>
  </si>
  <si>
    <t>Tablero 0,180*1,20</t>
  </si>
  <si>
    <t>Tablero 0,175*1,20</t>
  </si>
  <si>
    <t>Tablero 0,170*1,20</t>
  </si>
  <si>
    <t>Tablero 0,165*1,20</t>
  </si>
  <si>
    <t>Tablero 0,160*1,20</t>
  </si>
  <si>
    <t>Tablero 0,155*1,20</t>
  </si>
  <si>
    <t>Tablero 0,150*1,20</t>
  </si>
  <si>
    <t>Tablero 0,145*1,20</t>
  </si>
  <si>
    <t>Tablero 0,140*1,20</t>
  </si>
  <si>
    <t>Tablero 0,135*1,20</t>
  </si>
  <si>
    <t>Tablero 0,125*1,20</t>
  </si>
  <si>
    <t>Tablero 0,130*1,20</t>
  </si>
  <si>
    <t>Tablero 0,120*1,20</t>
  </si>
  <si>
    <t>Tablero 0,115*1,20</t>
  </si>
  <si>
    <t>Tablero 0,110*1,20</t>
  </si>
  <si>
    <t>Tablero 0,105*1,20</t>
  </si>
  <si>
    <t>Tablero 0,100*1,20</t>
  </si>
  <si>
    <t>Tablero 0,095*1,20</t>
  </si>
  <si>
    <t>Tablero 0,090*1,20</t>
  </si>
  <si>
    <t>Tablero 0,080*1,20</t>
  </si>
  <si>
    <t>Tablero 0,075*1,20</t>
  </si>
  <si>
    <t>Tablero 0,070*1,20</t>
  </si>
  <si>
    <t>Tablero 0,085*1,20</t>
  </si>
  <si>
    <t>Tablero 0,065*1,20</t>
  </si>
  <si>
    <t>Tablero 0,060*1,20</t>
  </si>
  <si>
    <t>Tablero 0,055*1,20</t>
  </si>
  <si>
    <t>Tablero 0,050*1,20</t>
  </si>
  <si>
    <t>ELEMENTOS 
FORMALETA METALICA</t>
  </si>
  <si>
    <t>EQUIPO</t>
  </si>
  <si>
    <t xml:space="preserve">TOTAL </t>
  </si>
  <si>
    <t>FORMCLAM</t>
  </si>
  <si>
    <t>Alineador 6Mtr</t>
  </si>
  <si>
    <t>Alineador 5Mtr</t>
  </si>
  <si>
    <t>Alineador 4Mtr</t>
  </si>
  <si>
    <t>Alineador 3Mtr</t>
  </si>
  <si>
    <t>Alineador 2Mtr</t>
  </si>
  <si>
    <t>Alineador 1Mtr</t>
  </si>
  <si>
    <t>Corbata 0,08Mtr</t>
  </si>
  <si>
    <t>Corbata 0,10Mtr</t>
  </si>
  <si>
    <t>Corbata 0,15Mtr</t>
  </si>
  <si>
    <t>Corbata 0,20Mtr</t>
  </si>
  <si>
    <t>Corbata 0,35Mtr</t>
  </si>
  <si>
    <t>Corbata 0,40Mtr</t>
  </si>
  <si>
    <t>Corbata 0,45Mtr</t>
  </si>
  <si>
    <t>Corbata 0,50Mtr</t>
  </si>
  <si>
    <t>Corbata 0,55Mtr</t>
  </si>
  <si>
    <t>Corbata 0,60Mtr</t>
  </si>
  <si>
    <t>Corbata 0,65Mtr</t>
  </si>
  <si>
    <t>Corbata 0,70Mtr</t>
  </si>
  <si>
    <t>Corbata 0,75Mtr</t>
  </si>
  <si>
    <t>Corbata 0,80Mtr</t>
  </si>
  <si>
    <t>Corbata 0,85Mtr</t>
  </si>
  <si>
    <t>Angulo 2,40Mtr</t>
  </si>
  <si>
    <t>Angulo 1,20Mtr</t>
  </si>
  <si>
    <t>Angulo 0,60Mtr</t>
  </si>
  <si>
    <t>Vertical con espigo 0,50mtr</t>
  </si>
  <si>
    <t>Vertical con espigo 1,00mtr</t>
  </si>
  <si>
    <t>Vertical con espigo 2,00mtr</t>
  </si>
  <si>
    <t>Vertical sin espigo 0,50mtr</t>
  </si>
  <si>
    <t>Vertical sin espigo 1,0mtr</t>
  </si>
  <si>
    <t>Vertical sin espigo 2,00mtr</t>
  </si>
  <si>
    <t xml:space="preserve">Horizontal 0,70 mtr </t>
  </si>
  <si>
    <t>Horizontal 1,40 mtr</t>
  </si>
  <si>
    <t>Horizontal 2,00 mtr</t>
  </si>
  <si>
    <t>Diagonal 3,50 mtr</t>
  </si>
  <si>
    <t>Diagonal 2,40 mtr</t>
  </si>
  <si>
    <t>Tornillo Nivelador</t>
  </si>
  <si>
    <t>Base collar</t>
  </si>
  <si>
    <t>Plataforma 0,30X1,40</t>
  </si>
  <si>
    <t>Plataforma 0,60x1,40</t>
  </si>
  <si>
    <t>Baranda Espaldar 3M</t>
  </si>
  <si>
    <t>Baranda Espaldar 2M</t>
  </si>
  <si>
    <t>Escalera Tipo Gato</t>
  </si>
  <si>
    <t>Abrazadera Giratoria</t>
  </si>
  <si>
    <t>Abrazadera Fija</t>
  </si>
  <si>
    <t>Rueda AMD</t>
  </si>
  <si>
    <t>Tornillo mariposa para baranda</t>
  </si>
  <si>
    <t>Pin en L (PARA ESCALERA T2.20)</t>
  </si>
  <si>
    <t>Paral Enano</t>
  </si>
  <si>
    <t>Paral Largo</t>
  </si>
  <si>
    <t>Paral Extra Largo</t>
  </si>
  <si>
    <t>Paral Super extra largo</t>
  </si>
  <si>
    <t>Cruceta Corta</t>
  </si>
  <si>
    <t>Cruceta Larga</t>
  </si>
  <si>
    <t>Andamio Tubular</t>
  </si>
  <si>
    <t>Escalera de andamio</t>
  </si>
  <si>
    <t>Cruceta de andamio</t>
  </si>
  <si>
    <t>Saca corbatas</t>
  </si>
  <si>
    <t>Compresor</t>
  </si>
  <si>
    <t>Pluma Grua</t>
  </si>
  <si>
    <t>Marco Ecoformwork 0,60*1,20Mtr</t>
  </si>
  <si>
    <t>Porta Correa 6,0mtr</t>
  </si>
  <si>
    <t>PESO
Klg</t>
  </si>
  <si>
    <t>Correa 3,0Mtr</t>
  </si>
  <si>
    <t>Correa 2,0Mtr</t>
  </si>
  <si>
    <t>Correa 1,50Mtr</t>
  </si>
  <si>
    <t>Tripode</t>
  </si>
  <si>
    <t>Carro Ecoformwork</t>
  </si>
  <si>
    <t>CONDUCTOR</t>
  </si>
  <si>
    <t>FECHA</t>
  </si>
  <si>
    <t>PESO klg</t>
  </si>
  <si>
    <t>PESO TN</t>
  </si>
  <si>
    <t>PRECIO</t>
  </si>
  <si>
    <t>VAL/TOTAL</t>
  </si>
  <si>
    <t>ACTIVIDAD</t>
  </si>
  <si>
    <t>F.Bogota</t>
  </si>
  <si>
    <t>TONELAGE DE REMISION POR EQUIPOS
ALFOREQUIPOS S.A.S</t>
  </si>
  <si>
    <t>Correa 1,00Mtr</t>
  </si>
  <si>
    <t>Formaleta circular D.30Cm</t>
  </si>
  <si>
    <t>Formaleta circular D.35Cm</t>
  </si>
  <si>
    <t>Formaleta circular D.40Cm</t>
  </si>
  <si>
    <t>Formaleta circular D.45Cm</t>
  </si>
  <si>
    <t>Formaleta circular D.50Cm</t>
  </si>
  <si>
    <t>Formaleta circular D.55Cm</t>
  </si>
  <si>
    <t>Formaleta circular D.60Cm</t>
  </si>
  <si>
    <t>Formaleta circular D.65Cm</t>
  </si>
  <si>
    <t>Formaleta circular D.70Cm</t>
  </si>
  <si>
    <t>Formaleta circular D.75Cm</t>
  </si>
  <si>
    <t>Formaleta circular D.80Cm</t>
  </si>
  <si>
    <t>Formaleta circular D.85Cm</t>
  </si>
  <si>
    <t>Formaleta circular D.90Cm</t>
  </si>
  <si>
    <t>Formaleta circular D.95Cm</t>
  </si>
  <si>
    <t>Formaleta circular D.1,05Mt</t>
  </si>
  <si>
    <t>Formaleta circular D.1,10Mt</t>
  </si>
  <si>
    <t>Formaleta circular D.1,00Mt</t>
  </si>
  <si>
    <t>Formaleta circular D.1,15Mt</t>
  </si>
  <si>
    <t>Formaleta circular D.1,20Mt</t>
  </si>
  <si>
    <t>Tornillo Formaleta circular</t>
  </si>
  <si>
    <t>Rinconera 0,20*0,20*1,20</t>
  </si>
  <si>
    <t>Horizontal 3,00 mtr</t>
  </si>
  <si>
    <t>Cercha 3mt</t>
  </si>
  <si>
    <t>Cercha 2mt</t>
  </si>
  <si>
    <t>Cercha 1,40mt</t>
  </si>
  <si>
    <t xml:space="preserve">Palomera ó Andamio Triangular </t>
  </si>
  <si>
    <t>Sacapin ó Tubo Manual</t>
  </si>
  <si>
    <t>Mezcladora de 1,1/2 Bulto (Sin Mot)</t>
  </si>
  <si>
    <t>Rueda de andamio tubular</t>
  </si>
  <si>
    <t>Baranda pasamanos de andamio tubular</t>
  </si>
  <si>
    <t>Camilla de Madera 70*140</t>
  </si>
  <si>
    <t>Camilla de Madera 40*140</t>
  </si>
  <si>
    <t>Camilla de Madera 60*140</t>
  </si>
  <si>
    <t>Camilla de Madera 50*140</t>
  </si>
  <si>
    <t>Pescante</t>
  </si>
  <si>
    <t>Alineador 0,70Mtr</t>
  </si>
  <si>
    <t>Alineador 0,80Mtr</t>
  </si>
  <si>
    <t>Alineador 0,90Mtr</t>
  </si>
  <si>
    <t>Alineador 1,10Mtr</t>
  </si>
  <si>
    <t>Alineador 1,20Mtr</t>
  </si>
  <si>
    <t>Alineador 1,30Mtr</t>
  </si>
  <si>
    <t>Alineador 1,50Mtr</t>
  </si>
  <si>
    <t>Corbata 0,90Mtr</t>
  </si>
  <si>
    <t>Corbata 0,95Mtr</t>
  </si>
  <si>
    <t>Corbata 1,00Mtr</t>
  </si>
  <si>
    <t>Corbata 1,05Mtr</t>
  </si>
  <si>
    <t>Corbata 1,10Mtr</t>
  </si>
  <si>
    <t>Corbata 1,15Mtr</t>
  </si>
  <si>
    <t>Corbata 1,20Mtr</t>
  </si>
  <si>
    <t>Corbata Tornillo 10</t>
  </si>
  <si>
    <t>Corbata Tornillo 1,0Mtr</t>
  </si>
  <si>
    <t>Corbata 0,24mtr</t>
  </si>
  <si>
    <t>Corbata Tornillo 15</t>
  </si>
  <si>
    <t>Corbata 0,44Mtr</t>
  </si>
  <si>
    <t>Corbata Tornillo 20</t>
  </si>
  <si>
    <t>Corbata Tornillo 22</t>
  </si>
  <si>
    <t>Corbata Tornillo 23 Cm Tipo II</t>
  </si>
  <si>
    <t>Corbata Tornillo 25 Cm</t>
  </si>
  <si>
    <t>Corbata Tornillo 28 Cm Tipo II</t>
  </si>
  <si>
    <t>Corbata Tornillo 30 Cm</t>
  </si>
  <si>
    <t>Corbata Tornillo 40 Cm</t>
  </si>
  <si>
    <t>Corbata Tornillo 43 Cm</t>
  </si>
  <si>
    <t>Corbata Tornillo 45 Cm</t>
  </si>
  <si>
    <t>Corbata Tornillo 50 Cm</t>
  </si>
  <si>
    <t>T.TON</t>
  </si>
  <si>
    <t>TOTAL</t>
  </si>
  <si>
    <t>TOTAL KL</t>
  </si>
  <si>
    <t>Caja de soldadura Mig</t>
  </si>
  <si>
    <t>Caja de soldadura 6013</t>
  </si>
  <si>
    <t>Guante de carnaza corto</t>
  </si>
  <si>
    <t>Guante de carnaza largo</t>
  </si>
  <si>
    <t>Tapa Bocas</t>
  </si>
  <si>
    <t>Tapa Oidos</t>
  </si>
  <si>
    <t>Marco Ecoformwork Si lamina</t>
  </si>
  <si>
    <t>Perros galvanizados</t>
  </si>
  <si>
    <t>Alineador 4,50Mtr</t>
  </si>
  <si>
    <t>Alineador 5,50Mtr</t>
  </si>
  <si>
    <t>Tablero 0,300*1,20</t>
  </si>
  <si>
    <t>Baranda Pasamanos AMD</t>
  </si>
  <si>
    <t>Plataforma 0,40X1,40</t>
  </si>
  <si>
    <t>Llave tensora</t>
  </si>
  <si>
    <t>Tensor - Mordaza</t>
  </si>
  <si>
    <t>Alineador 2,5Mtr</t>
  </si>
  <si>
    <t>Alineador 2,4Mtr</t>
  </si>
  <si>
    <t>Pin sencillo</t>
  </si>
  <si>
    <t>Rinconera 0,10*0,10*0,60</t>
  </si>
  <si>
    <t>Rinconera 0,12*0,12*1,20</t>
  </si>
  <si>
    <t>Rinconera 0,12*0,10*1,20</t>
  </si>
  <si>
    <t>Porta Correa 2,0mtr</t>
  </si>
  <si>
    <t>Cortadora de ladrillo (Con Motor)</t>
  </si>
  <si>
    <t>CIUDAD</t>
  </si>
  <si>
    <t>Lamina Ecoformwork</t>
  </si>
  <si>
    <t>Corbata Tornillo 60 Cm</t>
  </si>
  <si>
    <t>Corbata Tornillo 80 Cm</t>
  </si>
  <si>
    <t>Tabla</t>
  </si>
  <si>
    <t>Repisa</t>
  </si>
  <si>
    <t>Galon de anticorrosivo</t>
  </si>
  <si>
    <t>Tache perforado</t>
  </si>
  <si>
    <t>Motor</t>
  </si>
  <si>
    <t xml:space="preserve">Balde de pluma </t>
  </si>
  <si>
    <t xml:space="preserve">Motor a gasolina </t>
  </si>
  <si>
    <t>Rana O vibrocompactador Grande</t>
  </si>
  <si>
    <t>Rana O vibrocompactador Pequeña</t>
  </si>
  <si>
    <t>Plataforma 0,40x3,00</t>
  </si>
  <si>
    <t>Tablero 0,600*2,40</t>
  </si>
  <si>
    <t>Tablero 0,550*2,40</t>
  </si>
  <si>
    <t>Tablero 0,500*2,40</t>
  </si>
  <si>
    <t>Plataforma 0,30X3,00</t>
  </si>
  <si>
    <t>Correa 3,0Mtr con angulo</t>
  </si>
  <si>
    <t>Platina para paral</t>
  </si>
  <si>
    <t>Tablero 0,60*0,60</t>
  </si>
  <si>
    <t>Tablero 0,50*0,60</t>
  </si>
  <si>
    <t>Tablero 0,60*0,40</t>
  </si>
  <si>
    <t>Tablero 0,80*0,40</t>
  </si>
  <si>
    <t>Tablero 0,60*0,45</t>
  </si>
  <si>
    <t>Alineador 2,3Mtr</t>
  </si>
  <si>
    <t>Alineador 3,7Mtr</t>
  </si>
  <si>
    <t>Alineador 2,2Mtr</t>
  </si>
  <si>
    <t>Cercha 2,40mt</t>
  </si>
  <si>
    <t>Cercha 2,30mt</t>
  </si>
  <si>
    <t>Correa 1,30Mtr</t>
  </si>
  <si>
    <t>Porta Correa 3,0mtr</t>
  </si>
  <si>
    <t>Alineador 2,45Mtr</t>
  </si>
  <si>
    <t>Tubo de arrostizamiento de 6Mtrs</t>
  </si>
  <si>
    <t>Tubo de arrostizamiento de 3Mtrs</t>
  </si>
  <si>
    <t>Gancho colgante 50Mtrs (Guaya)</t>
  </si>
  <si>
    <t>PUNTOS A TENER EN CUENTA PARA ACCEDER AL PAGO POR TONELADAS CARGADAS</t>
  </si>
  <si>
    <r>
      <t xml:space="preserve">M.P
</t>
    </r>
    <r>
      <rPr>
        <b/>
        <sz val="8"/>
        <color theme="0"/>
        <rFont val="Arial Narrow"/>
        <family val="2"/>
      </rPr>
      <t>C - N/C</t>
    </r>
  </si>
  <si>
    <r>
      <t xml:space="preserve">R.T.E
</t>
    </r>
    <r>
      <rPr>
        <b/>
        <sz val="8"/>
        <color theme="0"/>
        <rFont val="Arial Narrow"/>
        <family val="2"/>
      </rPr>
      <t>C - N/C</t>
    </r>
  </si>
  <si>
    <r>
      <t xml:space="preserve">S.E Y R.E
</t>
    </r>
    <r>
      <rPr>
        <b/>
        <sz val="8"/>
        <color theme="0"/>
        <rFont val="Arial Narrow"/>
        <family val="2"/>
      </rPr>
      <t>C - N/C</t>
    </r>
  </si>
  <si>
    <r>
      <t xml:space="preserve">C.L
</t>
    </r>
    <r>
      <rPr>
        <b/>
        <sz val="8"/>
        <color theme="0"/>
        <rFont val="Arial Narrow"/>
        <family val="2"/>
      </rPr>
      <t>C - N/C</t>
    </r>
  </si>
  <si>
    <r>
      <t xml:space="preserve">P.P
</t>
    </r>
    <r>
      <rPr>
        <b/>
        <sz val="8"/>
        <color theme="0"/>
        <rFont val="Arial Narrow"/>
        <family val="2"/>
      </rPr>
      <t>C - N/C</t>
    </r>
  </si>
  <si>
    <t>Escalera de tramo 2,20M</t>
  </si>
  <si>
    <t>Tablero 0,60*1,20</t>
  </si>
  <si>
    <t>Tablero 0,150*2,40</t>
  </si>
  <si>
    <t>REMISIÓN</t>
  </si>
  <si>
    <t xml:space="preserve"> </t>
  </si>
  <si>
    <t>Panocha</t>
  </si>
  <si>
    <t>Zapato para corbata</t>
  </si>
  <si>
    <t>Plataforma 0,50x0,50</t>
  </si>
  <si>
    <t>Cercha 0,70mt</t>
  </si>
  <si>
    <t>Forclamp</t>
  </si>
  <si>
    <t>Baranda Espaldar 1,4M</t>
  </si>
  <si>
    <t>Gancho colgante 60Mtrs (Guaya)</t>
  </si>
  <si>
    <t xml:space="preserve">TON    </t>
  </si>
  <si>
    <t>Angulo 0,40Mtr</t>
  </si>
  <si>
    <t>Angulo 0,50Mtr</t>
  </si>
  <si>
    <t>Alineador en L</t>
  </si>
  <si>
    <t>Caucho Antigoteo</t>
  </si>
  <si>
    <t>Corbata 0,37Mtr</t>
  </si>
  <si>
    <t>Corbata 0,32Mtr</t>
  </si>
  <si>
    <t>Corbata 0,22mtr</t>
  </si>
  <si>
    <t>Corbata 0,18Mtr</t>
  </si>
  <si>
    <t>Plataforma 0,40x2,00</t>
  </si>
  <si>
    <t>Alineador 2,6Mtr</t>
  </si>
  <si>
    <t>Alineador 1,80Mtr</t>
  </si>
  <si>
    <t>Corbata 0,33Mtr</t>
  </si>
  <si>
    <t>Corbata 0,27mtr</t>
  </si>
  <si>
    <t>Alineador 3,5Mtr</t>
  </si>
  <si>
    <t>Alineador 5,70Mtr</t>
  </si>
  <si>
    <t>Alineador 5,60Mtr</t>
  </si>
  <si>
    <t>Alineador 4,70Mtr</t>
  </si>
  <si>
    <t>Alineador 4,40Mtr</t>
  </si>
  <si>
    <t>Alineador 4,35Mtr</t>
  </si>
  <si>
    <t>Alineador 4,20Mtr</t>
  </si>
  <si>
    <t>Alineador 4,10Mtr</t>
  </si>
  <si>
    <t>Alineador 3,75Mtr</t>
  </si>
  <si>
    <t>Alineador 3,30Mtr</t>
  </si>
  <si>
    <t>Alineador 2,90Mtr</t>
  </si>
  <si>
    <t>Alineador 2,80Mtr</t>
  </si>
  <si>
    <t>Alineador 1,70Mtr</t>
  </si>
  <si>
    <t>Alineador 1,65Mtr</t>
  </si>
  <si>
    <t>Alineador 1,60Mtr</t>
  </si>
  <si>
    <t>Alineador 1,47Mtr</t>
  </si>
  <si>
    <t>Alineador 1,4Mtr</t>
  </si>
  <si>
    <t>Alineador 1,35Mtr</t>
  </si>
  <si>
    <t>Alineador 1,250Mtr</t>
  </si>
  <si>
    <t>Plataforma 0,60x0,70</t>
  </si>
  <si>
    <t>Plataforma 0,40X1,03</t>
  </si>
  <si>
    <t>Corbata 0,63Mtr</t>
  </si>
  <si>
    <t>Corbata 0,42Mtr</t>
  </si>
  <si>
    <t>Corbata 0,39Mtr</t>
  </si>
  <si>
    <t>Gancho colgante 100Mtrs (Guaya)</t>
  </si>
  <si>
    <t>Plataforma 0,50x0,70</t>
  </si>
  <si>
    <t>Plataforma 0,30X0,70</t>
  </si>
  <si>
    <t>Plataforma 0,20X0,70</t>
  </si>
  <si>
    <t>Angulo 2Mtr</t>
  </si>
  <si>
    <t>Angulo 2,20Mtr</t>
  </si>
  <si>
    <t>Angulo 2,10Mtr</t>
  </si>
  <si>
    <t>Angulo 0,90Mtr</t>
  </si>
  <si>
    <t>Angulo 0,80Mtr</t>
  </si>
  <si>
    <t>Angulo 1,10Mtr</t>
  </si>
  <si>
    <t>Angulo 1Mtr</t>
  </si>
  <si>
    <t>Lamina Ecoformwork 0,60*1,20</t>
  </si>
  <si>
    <t>Cuña para mordaza</t>
  </si>
  <si>
    <t>Mordaza de 1,10</t>
  </si>
  <si>
    <t>Mordaza de 1,50</t>
  </si>
  <si>
    <t>Tablero Plástico 0,60*1,20</t>
  </si>
  <si>
    <t>Tornillo Tablero</t>
  </si>
  <si>
    <t>UNIDAD</t>
  </si>
  <si>
    <t>Plataforma 0,60x1,28</t>
  </si>
  <si>
    <t>Plataforma 0,60X2,50</t>
  </si>
  <si>
    <t>Baranda Espaldar 2,5M</t>
  </si>
  <si>
    <t xml:space="preserve">Plataforma 1,0X0,78 </t>
  </si>
  <si>
    <t>Baranda Espaldar 1M</t>
  </si>
  <si>
    <t>Corbata 0,30mtr</t>
  </si>
  <si>
    <t>Corbata 0,25mtr</t>
  </si>
  <si>
    <t>Mordaza de 2,0</t>
  </si>
  <si>
    <t>Mordaza de 2,15</t>
  </si>
  <si>
    <t>Mordaza de 2,40</t>
  </si>
  <si>
    <t>Mordaza de 1,0</t>
  </si>
  <si>
    <t>Mordaza de 0,80</t>
  </si>
  <si>
    <t>Plataforma 0,60X300 con escotilla</t>
  </si>
  <si>
    <t>Plataforma 0,60x2,00</t>
  </si>
  <si>
    <t>Corbata 1,70Mtr</t>
  </si>
  <si>
    <t>Corbata 1,30Mtr</t>
  </si>
  <si>
    <t>Lamina plastica 1,44*2,44</t>
  </si>
  <si>
    <t>Alineador 4,80Mtr</t>
  </si>
  <si>
    <t>Rinconera 0,15*0,15*0,79</t>
  </si>
  <si>
    <t>Alineador 2,7Mtr</t>
  </si>
  <si>
    <t>Rinconera 0,15*0,15*0,78</t>
  </si>
  <si>
    <t>Rinconera 0,15*0,15*0,83</t>
  </si>
  <si>
    <t>Rinconera 0,15*0,15*0,75</t>
  </si>
  <si>
    <t>Rinconera 0,15*0,15*0,82</t>
  </si>
  <si>
    <t>Rinconera 0,15*0,15*0,97</t>
  </si>
  <si>
    <t>Rinconera 0,15*0,15*0,76</t>
  </si>
  <si>
    <t>Rinconera 0,15*0,15*0,98</t>
  </si>
  <si>
    <t>Rinconera 0,15*0,15*0,99</t>
  </si>
  <si>
    <t>Rinconera 0,15*0,15*0,9</t>
  </si>
  <si>
    <t>Rinconera 0,15*0,15*0,89</t>
  </si>
  <si>
    <t>Rinconera 0,15*0,15*0,64</t>
  </si>
  <si>
    <t>Rinconera 0,15*0,15*0,8</t>
  </si>
  <si>
    <t>Rinconera 0,15*0,15*0,7</t>
  </si>
  <si>
    <t>Rinconera 0,15*0,15*0,65</t>
  </si>
  <si>
    <t>Rinconera 0,15*0,15*0,66</t>
  </si>
  <si>
    <t>Rinconera 0,15*0,15*0,74</t>
  </si>
  <si>
    <t>Rinconera 0,15*0,15*1,04</t>
  </si>
  <si>
    <t>Rinconera 0,15*0,15*1,01</t>
  </si>
  <si>
    <t>MARIO MARTINEZ</t>
  </si>
  <si>
    <t>Paral Corto sin caña</t>
  </si>
  <si>
    <t>Cercha 1,20mt</t>
  </si>
  <si>
    <t>Camilla plastica 70*120</t>
  </si>
  <si>
    <t>flegue</t>
  </si>
  <si>
    <t>varilla de 3,00</t>
  </si>
  <si>
    <t>Paral corto</t>
  </si>
  <si>
    <t>OSCAR PINEDA</t>
  </si>
  <si>
    <t>JOSE GUEVARA</t>
  </si>
  <si>
    <t>BOGOTÁ</t>
  </si>
  <si>
    <t>Diagonal  2,80 mtr</t>
  </si>
  <si>
    <t>Diagonal  3,00 mtr</t>
  </si>
  <si>
    <t xml:space="preserve">Rodapie 0.70 Mtrs                              </t>
  </si>
  <si>
    <t xml:space="preserve">Rodapie 1,31 Mtrs                                 </t>
  </si>
  <si>
    <t xml:space="preserve">Rodapie 2,91 Mtrs                                   </t>
  </si>
  <si>
    <t>Corbata 1,59Mtr</t>
  </si>
  <si>
    <t>Corbata 1,60Mtr</t>
  </si>
  <si>
    <t xml:space="preserve">Rodapie 2 Mtrs                                 </t>
  </si>
  <si>
    <t xml:space="preserve">JOSE GUEVARA </t>
  </si>
  <si>
    <t>Diagonal 1,20 mtr</t>
  </si>
  <si>
    <t>JIFFER NIETO</t>
  </si>
  <si>
    <r>
      <rPr>
        <b/>
        <sz val="10"/>
        <color theme="1"/>
        <rFont val="Arial Narrow"/>
        <family val="2"/>
      </rPr>
      <t xml:space="preserve">1. M.P - </t>
    </r>
    <r>
      <rPr>
        <sz val="10"/>
        <color theme="1"/>
        <rFont val="Arial Narrow"/>
        <family val="2"/>
      </rPr>
      <t xml:space="preserve">Realizar mantenimiento preventivo al carro: Quiere decir que el carro al salir debe estar en perfecto estado y no el mismo dia avisar del problema del carro, (El conductor debe velar por el buen estado de carro). (Avisar al mecanico o en su defecto a su jefe directo)
</t>
    </r>
    <r>
      <rPr>
        <b/>
        <sz val="10"/>
        <color theme="1"/>
        <rFont val="Arial Narrow"/>
        <family val="2"/>
      </rPr>
      <t xml:space="preserve">2. R.T.E - </t>
    </r>
    <r>
      <rPr>
        <sz val="10"/>
        <color theme="1"/>
        <rFont val="Arial Narrow"/>
        <family val="2"/>
      </rPr>
      <t xml:space="preserve">Recoger la totalidad del equipo: Indicarle al almacenista si se recogio la totalidad o si queda un parcial y es necesario que esto quede anotado en la remision
</t>
    </r>
    <r>
      <rPr>
        <b/>
        <sz val="10"/>
        <color theme="1"/>
        <rFont val="Arial Narrow"/>
        <family val="2"/>
      </rPr>
      <t>3.</t>
    </r>
    <r>
      <rPr>
        <sz val="10"/>
        <color theme="1"/>
        <rFont val="Arial Narrow"/>
        <family val="2"/>
      </rPr>
      <t xml:space="preserve"> </t>
    </r>
    <r>
      <rPr>
        <b/>
        <sz val="10"/>
        <color theme="1"/>
        <rFont val="Arial Narrow"/>
        <family val="2"/>
      </rPr>
      <t xml:space="preserve">S.E Y R.E - </t>
    </r>
    <r>
      <rPr>
        <sz val="10"/>
        <color theme="1"/>
        <rFont val="Arial Narrow"/>
        <family val="2"/>
      </rPr>
      <t xml:space="preserve">Carro que sale debe llevar equipo para entregar, por ende debe regresar con equipo y con sus respectivas remisiones
</t>
    </r>
    <r>
      <rPr>
        <b/>
        <sz val="10"/>
        <color theme="1"/>
        <rFont val="Arial Narrow"/>
        <family val="2"/>
      </rPr>
      <t>3.1 C.L -</t>
    </r>
    <r>
      <rPr>
        <sz val="10"/>
        <color theme="1"/>
        <rFont val="Arial Narrow"/>
        <family val="2"/>
      </rPr>
      <t xml:space="preserve"> Carro que sale con equipo, lo debe entregar el mismo dia. (De esto no suceder no se pagara esta remisión)
4</t>
    </r>
    <r>
      <rPr>
        <b/>
        <sz val="10"/>
        <color theme="1"/>
        <rFont val="Arial Narrow"/>
        <family val="2"/>
      </rPr>
      <t xml:space="preserve">. P.P - </t>
    </r>
    <r>
      <rPr>
        <sz val="10"/>
        <color theme="1"/>
        <rFont val="Arial Narrow"/>
        <family val="2"/>
      </rPr>
      <t xml:space="preserve">Buena presentacion personal: Tanto en la empresa como en las obras.
</t>
    </r>
    <r>
      <rPr>
        <b/>
        <sz val="10"/>
        <color theme="1"/>
        <rFont val="Arial Narrow"/>
        <family val="2"/>
      </rPr>
      <t>5.</t>
    </r>
    <r>
      <rPr>
        <sz val="10"/>
        <color theme="1"/>
        <rFont val="Arial Narrow"/>
        <family val="2"/>
      </rPr>
      <t xml:space="preserve"> Los sábados se debe dejar los carros lavados, tanqueados y en su respectivo garaje o lugar de parqueo.</t>
    </r>
  </si>
  <si>
    <t>WILSON MARTINEZ</t>
  </si>
  <si>
    <t>FT 571</t>
  </si>
  <si>
    <t>FT 573</t>
  </si>
  <si>
    <t>FM 1058</t>
  </si>
  <si>
    <t>FM 1057</t>
  </si>
  <si>
    <t>FM 1052</t>
  </si>
  <si>
    <t>FT 568</t>
  </si>
  <si>
    <t>FM 1051</t>
  </si>
  <si>
    <t>FM 1056</t>
  </si>
  <si>
    <t>FT 561</t>
  </si>
  <si>
    <t>FM 1055</t>
  </si>
  <si>
    <t>FT 570</t>
  </si>
  <si>
    <t>FM 1054</t>
  </si>
  <si>
    <t>FT 569</t>
  </si>
  <si>
    <t>FM 1053</t>
  </si>
  <si>
    <t>FM 1071</t>
  </si>
  <si>
    <t>FM 1073</t>
  </si>
  <si>
    <t>FT 576</t>
  </si>
  <si>
    <t>FM 1068</t>
  </si>
  <si>
    <t>FT 579</t>
  </si>
  <si>
    <t>FM 1062</t>
  </si>
  <si>
    <t>FM 1065</t>
  </si>
  <si>
    <t>FM 1064</t>
  </si>
  <si>
    <t>FM 1061</t>
  </si>
  <si>
    <t>FM 518</t>
  </si>
  <si>
    <t>FT 574</t>
  </si>
  <si>
    <t>FM 1063</t>
  </si>
  <si>
    <t>FM 1066</t>
  </si>
  <si>
    <t>FT 578</t>
  </si>
  <si>
    <t>FT 577</t>
  </si>
  <si>
    <t>FT 583</t>
  </si>
  <si>
    <t>FM 1077</t>
  </si>
  <si>
    <t>FT 581</t>
  </si>
  <si>
    <t>FT 580</t>
  </si>
  <si>
    <t>FM 1072</t>
  </si>
  <si>
    <t>FM 1079</t>
  </si>
  <si>
    <t>FM 520</t>
  </si>
  <si>
    <t>FT 584</t>
  </si>
  <si>
    <t>FM 1078</t>
  </si>
  <si>
    <r>
      <t xml:space="preserve">OBSERVACIONES:
</t>
    </r>
    <r>
      <rPr>
        <sz val="10"/>
        <color theme="1"/>
        <rFont val="Arial Narrow"/>
        <family val="2"/>
      </rPr>
      <t xml:space="preserve">- En esta ocasión, el corte es desde el 22/06/2026 hasta el 11/07/2026
- EL costo que se le asignó al tonelaje fue el siguiente: 
- </t>
    </r>
    <r>
      <rPr>
        <i/>
        <u/>
        <sz val="10"/>
        <color theme="1"/>
        <rFont val="Arial Narrow"/>
        <family val="2"/>
      </rPr>
      <t>Dentro de Bogota a $2.500°° (Dos mil pesos)</t>
    </r>
    <r>
      <rPr>
        <sz val="10"/>
        <color theme="1"/>
        <rFont val="Arial Narrow"/>
        <family val="2"/>
      </rPr>
      <t xml:space="preserve">; </t>
    </r>
    <r>
      <rPr>
        <i/>
        <u/>
        <sz val="10"/>
        <color theme="1"/>
        <rFont val="Arial Narrow"/>
        <family val="2"/>
      </rPr>
      <t xml:space="preserve">Fuera de Bogota a $4.500°° (Cuatro mil pesos) </t>
    </r>
    <r>
      <rPr>
        <sz val="10"/>
        <color theme="1"/>
        <rFont val="Arial Narrow"/>
        <family val="2"/>
      </rPr>
      <t xml:space="preserve">
El valor del costo por tonelada, por fuera y en la ciudad fue sumunistrado por </t>
    </r>
    <r>
      <rPr>
        <b/>
        <sz val="10"/>
        <color theme="1"/>
        <rFont val="Arial Narrow"/>
        <family val="2"/>
      </rPr>
      <t>el ING. Jhon Jairo Garcia.
Este periodo de pago se tomará desde mayo</t>
    </r>
  </si>
  <si>
    <t>Corbata Destijerada 0,25Mtr</t>
  </si>
  <si>
    <t>Corbata Destijerada 0,35Mtr</t>
  </si>
  <si>
    <t>Corbata Destijerada 0,40Mtr</t>
  </si>
  <si>
    <t>Corbata Destijerada 0,50Mtr</t>
  </si>
  <si>
    <t>Corbata Destijerada 0,55Mtr</t>
  </si>
  <si>
    <t>Corbata Destijerada 0,60Mtr</t>
  </si>
  <si>
    <t>Corbata Destijerada 0,65Mtr</t>
  </si>
  <si>
    <t>Corbata Destijerada 0,70Mtr</t>
  </si>
  <si>
    <t>Corbata Destijerada 0,75Mtr</t>
  </si>
  <si>
    <t>Corbata Destijerada 0,80Mtr</t>
  </si>
  <si>
    <t>Corbata Destijerada 0,85Mtr</t>
  </si>
  <si>
    <t>Corbata Destijerada 0,90Mtr</t>
  </si>
  <si>
    <t>Corbata Destijerada 0,95Mtr</t>
  </si>
  <si>
    <t>Corbata Destijerada 1,00Mtr</t>
  </si>
  <si>
    <t>Corbata Destijerada 1,05Mtr</t>
  </si>
  <si>
    <t>Corbata Destijerada 1,10Mtr</t>
  </si>
  <si>
    <t>Corbata Destijerada 1,15Mtr</t>
  </si>
  <si>
    <t>Corbata Destijerada 1,20Mtr</t>
  </si>
  <si>
    <t>Corbata Destijerada 1,25Mtr</t>
  </si>
  <si>
    <t>Corbata Destijerada 1,30Mtr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</si>
</sst>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0.0"/>
    <numFmt numFmtId="167" formatCode="_(&quot;$&quot;\ * #,##0_);_(&quot;$&quot;\ * \(#,##0\);_(&quot;$&quot;\ * &quot;-&quot;??_);_(@_)"/>
    <numFmt numFmtId="168" formatCode="_(* #,##0_);_(* \(#,##0\);_(* &quot;-&quot;??_);_(@_)"/>
    <numFmt numFmtId="169" formatCode="0.000"/>
    <numFmt numFmtId="170" formatCode="_(* #,##0.0000_);_(* \(#,##0.00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theme="1"/>
      <name val="Calibri"/>
      <family val="2"/>
      <scheme val="minor"/>
    </font>
    <font>
      <b/>
      <sz val="11"/>
      <color theme="0"/>
      <name val="Arial Narrow"/>
      <family val="2"/>
    </font>
    <font>
      <b/>
      <u val="singleAccounting"/>
      <sz val="11"/>
      <color theme="0"/>
      <name val="Arial Narrow"/>
      <family val="2"/>
    </font>
    <font>
      <b/>
      <u/>
      <sz val="11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name val="Arial Narrow"/>
      <family val="2"/>
    </font>
    <font>
      <b/>
      <sz val="11"/>
      <color theme="2"/>
      <name val="Arial Narrow"/>
      <family val="2"/>
    </font>
    <font>
      <b/>
      <sz val="8"/>
      <color theme="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i/>
      <u/>
      <sz val="10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13">
    <xf numFmtId="0" fontId="0" fillId="0" borderId="0" xfId="0"/>
    <xf numFmtId="0" fontId="1" fillId="0" borderId="0" xfId="0" applyFont="1"/>
    <xf numFmtId="0" fontId="1" fillId="0" borderId="1" xfId="0" applyFont="1" applyBorder="1"/>
    <xf numFmtId="1" fontId="1" fillId="0" borderId="1" xfId="0" applyNumberFormat="1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2" fontId="1" fillId="0" borderId="4" xfId="0" applyNumberFormat="1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65" fontId="1" fillId="0" borderId="1" xfId="1" applyFont="1" applyFill="1" applyBorder="1" applyAlignment="1">
      <alignment vertical="center"/>
    </xf>
    <xf numFmtId="165" fontId="1" fillId="0" borderId="1" xfId="1" applyFont="1" applyBorder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1" xfId="0" applyFont="1" applyBorder="1"/>
    <xf numFmtId="0" fontId="6" fillId="5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167" fontId="2" fillId="0" borderId="5" xfId="0" applyNumberFormat="1" applyFont="1" applyBorder="1"/>
    <xf numFmtId="167" fontId="2" fillId="0" borderId="1" xfId="2" applyNumberFormat="1" applyFont="1" applyBorder="1" applyAlignment="1">
      <alignment wrapText="1"/>
    </xf>
    <xf numFmtId="167" fontId="7" fillId="7" borderId="0" xfId="2" applyNumberFormat="1" applyFont="1" applyFill="1" applyBorder="1" applyAlignment="1">
      <alignment wrapText="1"/>
    </xf>
    <xf numFmtId="0" fontId="8" fillId="7" borderId="0" xfId="0" applyFont="1" applyFill="1" applyAlignment="1">
      <alignment horizontal="center" vertical="center" wrapText="1"/>
    </xf>
    <xf numFmtId="2" fontId="2" fillId="0" borderId="5" xfId="0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65" fontId="1" fillId="0" borderId="1" xfId="1" applyFont="1" applyBorder="1" applyAlignment="1">
      <alignment horizontal="center" vertical="top" wrapText="1"/>
    </xf>
    <xf numFmtId="0" fontId="10" fillId="0" borderId="0" xfId="0" applyFont="1"/>
    <xf numFmtId="0" fontId="11" fillId="6" borderId="1" xfId="0" applyFont="1" applyFill="1" applyBorder="1" applyAlignment="1">
      <alignment horizontal="center" vertical="center"/>
    </xf>
    <xf numFmtId="165" fontId="11" fillId="6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165" fontId="10" fillId="0" borderId="1" xfId="1" applyFont="1" applyBorder="1" applyAlignment="1">
      <alignment horizontal="center"/>
    </xf>
    <xf numFmtId="165" fontId="10" fillId="0" borderId="1" xfId="0" applyNumberFormat="1" applyFont="1" applyBorder="1" applyAlignment="1">
      <alignment horizontal="left"/>
    </xf>
    <xf numFmtId="169" fontId="10" fillId="0" borderId="0" xfId="0" applyNumberFormat="1" applyFont="1"/>
    <xf numFmtId="0" fontId="12" fillId="0" borderId="1" xfId="0" applyFont="1" applyBorder="1" applyAlignment="1">
      <alignment horizontal="left"/>
    </xf>
    <xf numFmtId="165" fontId="10" fillId="0" borderId="1" xfId="1" applyFont="1" applyFill="1" applyBorder="1" applyAlignment="1">
      <alignment horizontal="center"/>
    </xf>
    <xf numFmtId="165" fontId="12" fillId="0" borderId="1" xfId="1" applyFont="1" applyFill="1" applyBorder="1" applyAlignment="1">
      <alignment horizontal="center"/>
    </xf>
    <xf numFmtId="2" fontId="10" fillId="0" borderId="0" xfId="0" applyNumberFormat="1" applyFont="1"/>
    <xf numFmtId="0" fontId="10" fillId="0" borderId="1" xfId="0" applyFont="1" applyBorder="1" applyAlignment="1">
      <alignment horizontal="left" vertical="center"/>
    </xf>
    <xf numFmtId="166" fontId="10" fillId="0" borderId="0" xfId="0" applyNumberFormat="1" applyFont="1"/>
    <xf numFmtId="166" fontId="11" fillId="0" borderId="0" xfId="0" applyNumberFormat="1" applyFont="1" applyAlignment="1">
      <alignment horizontal="center" vertical="center"/>
    </xf>
    <xf numFmtId="2" fontId="10" fillId="0" borderId="1" xfId="0" applyNumberFormat="1" applyFont="1" applyBorder="1" applyAlignment="1">
      <alignment horizontal="left" vertical="center"/>
    </xf>
    <xf numFmtId="0" fontId="10" fillId="0" borderId="1" xfId="0" applyFont="1" applyBorder="1"/>
    <xf numFmtId="165" fontId="10" fillId="0" borderId="1" xfId="1" applyFont="1" applyBorder="1" applyAlignment="1">
      <alignment horizontal="right"/>
    </xf>
    <xf numFmtId="165" fontId="10" fillId="0" borderId="0" xfId="1" applyFont="1" applyAlignment="1">
      <alignment horizontal="center"/>
    </xf>
    <xf numFmtId="165" fontId="10" fillId="0" borderId="0" xfId="0" applyNumberFormat="1" applyFont="1"/>
    <xf numFmtId="0" fontId="10" fillId="0" borderId="0" xfId="0" applyFont="1" applyAlignment="1">
      <alignment horizontal="right"/>
    </xf>
    <xf numFmtId="165" fontId="11" fillId="0" borderId="0" xfId="1" applyFont="1" applyAlignment="1">
      <alignment horizontal="center"/>
    </xf>
    <xf numFmtId="165" fontId="10" fillId="0" borderId="0" xfId="1" applyFont="1"/>
    <xf numFmtId="167" fontId="2" fillId="0" borderId="5" xfId="2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16" fillId="0" borderId="0" xfId="0" applyFont="1"/>
    <xf numFmtId="167" fontId="1" fillId="0" borderId="1" xfId="2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7" fontId="3" fillId="0" borderId="1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5" fontId="3" fillId="0" borderId="1" xfId="0" applyNumberFormat="1" applyFont="1" applyBorder="1" applyAlignment="1">
      <alignment horizontal="center" vertical="center"/>
    </xf>
    <xf numFmtId="15" fontId="0" fillId="0" borderId="0" xfId="0" applyNumberFormat="1"/>
    <xf numFmtId="15" fontId="3" fillId="0" borderId="1" xfId="0" applyNumberFormat="1" applyFont="1" applyBorder="1" applyAlignment="1">
      <alignment horizontal="center"/>
    </xf>
    <xf numFmtId="15" fontId="0" fillId="0" borderId="0" xfId="0" applyNumberFormat="1" applyAlignment="1">
      <alignment horizontal="center"/>
    </xf>
    <xf numFmtId="167" fontId="1" fillId="0" borderId="1" xfId="2" applyNumberFormat="1" applyFont="1" applyFill="1" applyBorder="1" applyAlignment="1">
      <alignment horizontal="center"/>
    </xf>
    <xf numFmtId="170" fontId="10" fillId="0" borderId="1" xfId="1" applyNumberFormat="1" applyFont="1" applyBorder="1" applyAlignment="1">
      <alignment horizontal="center"/>
    </xf>
    <xf numFmtId="0" fontId="0" fillId="0" borderId="1" xfId="0" applyBorder="1"/>
    <xf numFmtId="166" fontId="1" fillId="0" borderId="1" xfId="1" applyNumberFormat="1" applyFont="1" applyFill="1" applyBorder="1" applyAlignment="1">
      <alignment horizontal="center"/>
    </xf>
    <xf numFmtId="166" fontId="1" fillId="0" borderId="1" xfId="1" applyNumberFormat="1" applyFont="1" applyFill="1" applyBorder="1" applyAlignment="1">
      <alignment horizontal="center" vertical="center"/>
    </xf>
    <xf numFmtId="2" fontId="1" fillId="0" borderId="1" xfId="1" applyNumberFormat="1" applyFont="1" applyFill="1" applyBorder="1" applyAlignment="1">
      <alignment horizontal="center"/>
    </xf>
    <xf numFmtId="0" fontId="13" fillId="8" borderId="0" xfId="0" applyFont="1" applyFill="1" applyAlignment="1">
      <alignment horizontal="center" vertical="center" textRotation="90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/>
    <xf numFmtId="0" fontId="1" fillId="8" borderId="0" xfId="0" applyFont="1" applyFill="1" applyAlignment="1">
      <alignment vertical="center" wrapText="1"/>
    </xf>
    <xf numFmtId="0" fontId="16" fillId="8" borderId="0" xfId="0" applyFont="1" applyFill="1"/>
    <xf numFmtId="0" fontId="1" fillId="8" borderId="0" xfId="0" applyFont="1" applyFill="1" applyAlignment="1">
      <alignment horizontal="center"/>
    </xf>
    <xf numFmtId="165" fontId="11" fillId="0" borderId="1" xfId="0" applyNumberFormat="1" applyFont="1" applyBorder="1"/>
    <xf numFmtId="165" fontId="10" fillId="0" borderId="1" xfId="0" applyNumberFormat="1" applyFont="1" applyBorder="1"/>
    <xf numFmtId="1" fontId="1" fillId="0" borderId="1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3" fillId="0" borderId="0" xfId="0" applyFont="1" applyAlignment="1">
      <alignment horizontal="center" vertical="center" textRotation="90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8" fontId="6" fillId="5" borderId="1" xfId="1" applyNumberFormat="1" applyFont="1" applyFill="1" applyBorder="1" applyAlignment="1">
      <alignment horizontal="center" vertical="center"/>
    </xf>
    <xf numFmtId="167" fontId="6" fillId="5" borderId="1" xfId="2" applyNumberFormat="1" applyFont="1" applyFill="1" applyBorder="1" applyAlignment="1">
      <alignment horizontal="center" vertical="center"/>
    </xf>
    <xf numFmtId="15" fontId="6" fillId="5" borderId="1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right" vertical="center" wrapText="1"/>
    </xf>
    <xf numFmtId="165" fontId="11" fillId="0" borderId="4" xfId="1" applyFont="1" applyBorder="1" applyAlignment="1">
      <alignment horizontal="right"/>
    </xf>
    <xf numFmtId="165" fontId="11" fillId="0" borderId="2" xfId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1" fillId="0" borderId="0" xfId="0" applyFont="1"/>
  </cellXfs>
  <cellStyles count="5">
    <cellStyle name="Millares" xfId="1" builtinId="3"/>
    <cellStyle name="Millares 2" xfId="4" xr:uid="{00000000-0005-0000-0000-000001000000}"/>
    <cellStyle name="Moneda" xfId="2" builtinId="4"/>
    <cellStyle name="Moneda 2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zoomScaleNormal="100" workbookViewId="0">
      <selection activeCell="K9" sqref="K9"/>
    </sheetView>
  </sheetViews>
  <sheetFormatPr baseColWidth="10" defaultColWidth="11.42578125" defaultRowHeight="15" x14ac:dyDescent="0.25"/>
  <cols>
    <col min="1" max="1" width="12.42578125" customWidth="1"/>
    <col min="2" max="2" width="13.7109375" customWidth="1"/>
    <col min="3" max="3" width="13.28515625" style="68" customWidth="1"/>
    <col min="4" max="4" width="9" customWidth="1"/>
    <col min="5" max="5" width="8.42578125" customWidth="1"/>
    <col min="6" max="6" width="11.28515625" customWidth="1"/>
    <col min="7" max="7" width="10.42578125" customWidth="1"/>
  </cols>
  <sheetData>
    <row r="1" spans="1:10" ht="18" customHeight="1" x14ac:dyDescent="0.3">
      <c r="A1" s="67" t="s">
        <v>254</v>
      </c>
      <c r="B1" s="100" t="s">
        <v>509</v>
      </c>
      <c r="C1" s="101"/>
      <c r="D1" s="65"/>
      <c r="E1" s="66" t="s">
        <v>354</v>
      </c>
      <c r="F1" s="65" t="s">
        <v>511</v>
      </c>
      <c r="G1" s="11"/>
    </row>
    <row r="2" spans="1:10" ht="16.5" x14ac:dyDescent="0.25">
      <c r="A2" s="102" t="s">
        <v>255</v>
      </c>
      <c r="B2" s="102" t="s">
        <v>399</v>
      </c>
      <c r="C2" s="103" t="s">
        <v>256</v>
      </c>
      <c r="D2" s="102" t="s">
        <v>257</v>
      </c>
      <c r="E2" s="104" t="s">
        <v>258</v>
      </c>
      <c r="F2" s="102" t="s">
        <v>259</v>
      </c>
      <c r="G2" s="58" t="s">
        <v>260</v>
      </c>
    </row>
    <row r="3" spans="1:10" ht="16.5" x14ac:dyDescent="0.25">
      <c r="A3" s="102"/>
      <c r="B3" s="102"/>
      <c r="C3" s="103"/>
      <c r="D3" s="102"/>
      <c r="E3" s="104"/>
      <c r="F3" s="102"/>
      <c r="G3" s="58" t="s">
        <v>261</v>
      </c>
    </row>
    <row r="4" spans="1:10" ht="16.5" x14ac:dyDescent="0.3">
      <c r="A4" s="64"/>
      <c r="B4" s="62" t="s">
        <v>525</v>
      </c>
      <c r="C4" s="78">
        <v>465.20000000000005</v>
      </c>
      <c r="D4" s="63">
        <f>+C4/1000</f>
        <v>0.46520000000000006</v>
      </c>
      <c r="E4" s="73">
        <f>IF(G4=1,4500,2500)</f>
        <v>2500</v>
      </c>
      <c r="F4" s="73">
        <f>E4*D4</f>
        <v>1163.0000000000002</v>
      </c>
      <c r="G4" s="62"/>
    </row>
    <row r="5" spans="1:10" ht="16.5" x14ac:dyDescent="0.3">
      <c r="A5" s="64"/>
      <c r="B5" s="62">
        <v>31940</v>
      </c>
      <c r="C5" s="78">
        <v>2726.9208333333336</v>
      </c>
      <c r="D5" s="63">
        <f>C5/1000</f>
        <v>2.7269208333333337</v>
      </c>
      <c r="E5" s="73">
        <f t="shared" ref="E5:E31" si="0">IF(G5=1,4500,2500)</f>
        <v>2500</v>
      </c>
      <c r="F5" s="73">
        <f t="shared" ref="F5:F13" si="1">E5*D5</f>
        <v>6817.3020833333339</v>
      </c>
      <c r="G5" s="62"/>
    </row>
    <row r="6" spans="1:10" ht="16.5" x14ac:dyDescent="0.3">
      <c r="A6" s="64"/>
      <c r="B6" s="62">
        <v>31939</v>
      </c>
      <c r="C6" s="78">
        <v>4560.1100000000024</v>
      </c>
      <c r="D6" s="63">
        <f>+C6/1000</f>
        <v>4.5601100000000026</v>
      </c>
      <c r="E6" s="73">
        <f t="shared" si="0"/>
        <v>2500</v>
      </c>
      <c r="F6" s="73">
        <f t="shared" si="1"/>
        <v>11400.275000000007</v>
      </c>
      <c r="G6" s="62"/>
    </row>
    <row r="7" spans="1:10" ht="16.5" x14ac:dyDescent="0.3">
      <c r="A7" s="64"/>
      <c r="B7" s="62">
        <v>31935</v>
      </c>
      <c r="C7" s="78">
        <v>65.733333333333348</v>
      </c>
      <c r="D7" s="63">
        <f t="shared" ref="D7:D11" si="2">+C7/1000</f>
        <v>6.5733333333333352E-2</v>
      </c>
      <c r="E7" s="73">
        <f t="shared" si="0"/>
        <v>4500</v>
      </c>
      <c r="F7" s="73">
        <f t="shared" si="1"/>
        <v>295.80000000000007</v>
      </c>
      <c r="G7" s="62">
        <v>1</v>
      </c>
    </row>
    <row r="8" spans="1:10" ht="16.5" x14ac:dyDescent="0.3">
      <c r="A8" s="64"/>
      <c r="B8" s="62" t="s">
        <v>533</v>
      </c>
      <c r="C8" s="78">
        <v>7200</v>
      </c>
      <c r="D8" s="63">
        <f t="shared" si="2"/>
        <v>7.2</v>
      </c>
      <c r="E8" s="73">
        <f t="shared" si="0"/>
        <v>2500</v>
      </c>
      <c r="F8" s="73">
        <f t="shared" si="1"/>
        <v>18000</v>
      </c>
      <c r="G8" s="62"/>
    </row>
    <row r="9" spans="1:10" ht="16.5" x14ac:dyDescent="0.3">
      <c r="A9" s="64"/>
      <c r="B9" s="62" t="s">
        <v>537</v>
      </c>
      <c r="C9" s="78">
        <v>856</v>
      </c>
      <c r="D9" s="63">
        <f t="shared" si="2"/>
        <v>0.85599999999999998</v>
      </c>
      <c r="E9" s="73">
        <f t="shared" si="0"/>
        <v>4500</v>
      </c>
      <c r="F9" s="73">
        <f t="shared" si="1"/>
        <v>3852</v>
      </c>
      <c r="G9" s="62">
        <v>1</v>
      </c>
    </row>
    <row r="10" spans="1:10" ht="16.5" x14ac:dyDescent="0.3">
      <c r="A10" s="64"/>
      <c r="B10" s="62" t="s">
        <v>538</v>
      </c>
      <c r="C10" s="78">
        <v>391.86666666666679</v>
      </c>
      <c r="D10" s="63">
        <f t="shared" si="2"/>
        <v>0.39186666666666681</v>
      </c>
      <c r="E10" s="73">
        <f t="shared" si="0"/>
        <v>4500</v>
      </c>
      <c r="F10" s="73">
        <f t="shared" si="1"/>
        <v>1763.4000000000005</v>
      </c>
      <c r="G10" s="62">
        <v>1</v>
      </c>
    </row>
    <row r="11" spans="1:10" ht="16.5" x14ac:dyDescent="0.3">
      <c r="A11" s="64"/>
      <c r="B11" s="62">
        <v>31955</v>
      </c>
      <c r="C11" s="78">
        <v>507.28000000000003</v>
      </c>
      <c r="D11" s="63">
        <f t="shared" si="2"/>
        <v>0.50728000000000006</v>
      </c>
      <c r="E11" s="73">
        <f t="shared" si="0"/>
        <v>2500</v>
      </c>
      <c r="F11" s="73">
        <f t="shared" si="1"/>
        <v>1268.2000000000003</v>
      </c>
      <c r="G11" s="62"/>
      <c r="J11" t="s">
        <v>400</v>
      </c>
    </row>
    <row r="12" spans="1:10" ht="16.5" x14ac:dyDescent="0.3">
      <c r="A12" s="64"/>
      <c r="B12" s="62" t="s">
        <v>540</v>
      </c>
      <c r="C12" s="78">
        <v>4115.6500000000015</v>
      </c>
      <c r="D12" s="63">
        <f t="shared" ref="D12:D13" si="3">+C12/1000</f>
        <v>4.1156500000000014</v>
      </c>
      <c r="E12" s="73">
        <f t="shared" si="0"/>
        <v>2500</v>
      </c>
      <c r="F12" s="73">
        <f t="shared" si="1"/>
        <v>10289.125000000004</v>
      </c>
      <c r="G12" s="62"/>
    </row>
    <row r="13" spans="1:10" ht="16.5" x14ac:dyDescent="0.3">
      <c r="A13" s="64"/>
      <c r="B13" s="62" t="s">
        <v>543</v>
      </c>
      <c r="C13" s="78">
        <v>1280</v>
      </c>
      <c r="D13" s="63">
        <f t="shared" si="3"/>
        <v>1.28</v>
      </c>
      <c r="E13" s="73">
        <f t="shared" si="0"/>
        <v>2500</v>
      </c>
      <c r="F13" s="73">
        <f t="shared" si="1"/>
        <v>3200</v>
      </c>
      <c r="G13" s="62"/>
    </row>
    <row r="14" spans="1:10" ht="16.5" x14ac:dyDescent="0.3">
      <c r="A14" s="64"/>
      <c r="B14" s="62" t="s">
        <v>544</v>
      </c>
      <c r="C14" s="78">
        <v>5525</v>
      </c>
      <c r="D14" s="63">
        <f t="shared" ref="D14:D19" si="4">+C14/1000</f>
        <v>5.5250000000000004</v>
      </c>
      <c r="E14" s="73">
        <f t="shared" si="0"/>
        <v>2500</v>
      </c>
      <c r="F14" s="73">
        <f t="shared" ref="F14:F19" si="5">E14*D14</f>
        <v>13812.5</v>
      </c>
      <c r="G14" s="62"/>
    </row>
    <row r="15" spans="1:10" ht="16.5" x14ac:dyDescent="0.3">
      <c r="A15" s="64"/>
      <c r="B15" s="62" t="s">
        <v>554</v>
      </c>
      <c r="C15" s="78">
        <v>320</v>
      </c>
      <c r="D15" s="63">
        <f t="shared" si="4"/>
        <v>0.32</v>
      </c>
      <c r="E15" s="73">
        <f t="shared" si="0"/>
        <v>2500</v>
      </c>
      <c r="F15" s="73">
        <f t="shared" si="5"/>
        <v>800</v>
      </c>
      <c r="G15" s="62"/>
    </row>
    <row r="16" spans="1:10" ht="16.5" x14ac:dyDescent="0.3">
      <c r="A16" s="64"/>
      <c r="B16" s="62">
        <v>31958</v>
      </c>
      <c r="C16" s="78">
        <v>3917.1000000000004</v>
      </c>
      <c r="D16" s="63">
        <f t="shared" si="4"/>
        <v>3.9171000000000005</v>
      </c>
      <c r="E16" s="73">
        <f t="shared" si="0"/>
        <v>2500</v>
      </c>
      <c r="F16" s="73">
        <f t="shared" si="5"/>
        <v>9792.7500000000018</v>
      </c>
      <c r="G16" s="62"/>
    </row>
    <row r="17" spans="1:7" ht="16.5" x14ac:dyDescent="0.3">
      <c r="A17" s="64"/>
      <c r="B17" s="62"/>
      <c r="C17" s="78"/>
      <c r="D17" s="63">
        <f t="shared" si="4"/>
        <v>0</v>
      </c>
      <c r="E17" s="73">
        <f t="shared" si="0"/>
        <v>2500</v>
      </c>
      <c r="F17" s="73">
        <f t="shared" si="5"/>
        <v>0</v>
      </c>
      <c r="G17" s="62"/>
    </row>
    <row r="18" spans="1:7" ht="16.5" x14ac:dyDescent="0.3">
      <c r="A18" s="64"/>
      <c r="B18" s="62"/>
      <c r="C18" s="78"/>
      <c r="D18" s="63">
        <f t="shared" si="4"/>
        <v>0</v>
      </c>
      <c r="E18" s="73">
        <f t="shared" si="0"/>
        <v>2500</v>
      </c>
      <c r="F18" s="73">
        <f t="shared" si="5"/>
        <v>0</v>
      </c>
      <c r="G18" s="62"/>
    </row>
    <row r="19" spans="1:7" ht="17.25" customHeight="1" x14ac:dyDescent="0.3">
      <c r="A19" s="64"/>
      <c r="B19" s="62"/>
      <c r="C19" s="78"/>
      <c r="D19" s="63">
        <f t="shared" si="4"/>
        <v>0</v>
      </c>
      <c r="E19" s="73">
        <f t="shared" si="0"/>
        <v>2500</v>
      </c>
      <c r="F19" s="61">
        <f t="shared" si="5"/>
        <v>0</v>
      </c>
      <c r="G19" s="62"/>
    </row>
    <row r="20" spans="1:7" ht="16.5" x14ac:dyDescent="0.3">
      <c r="A20" s="64"/>
      <c r="B20" s="62"/>
      <c r="C20" s="78"/>
      <c r="D20" s="63">
        <f t="shared" ref="D20:D24" si="6">+C20/1000</f>
        <v>0</v>
      </c>
      <c r="E20" s="73">
        <f t="shared" si="0"/>
        <v>2500</v>
      </c>
      <c r="F20" s="61">
        <f t="shared" ref="F20:F24" si="7">E20*D20</f>
        <v>0</v>
      </c>
      <c r="G20" s="62"/>
    </row>
    <row r="21" spans="1:7" ht="16.5" x14ac:dyDescent="0.3">
      <c r="A21" s="64"/>
      <c r="B21" s="62"/>
      <c r="C21" s="78"/>
      <c r="D21" s="63">
        <f t="shared" si="6"/>
        <v>0</v>
      </c>
      <c r="E21" s="73">
        <f t="shared" si="0"/>
        <v>2500</v>
      </c>
      <c r="F21" s="61">
        <f t="shared" si="7"/>
        <v>0</v>
      </c>
      <c r="G21" s="62"/>
    </row>
    <row r="22" spans="1:7" ht="16.5" x14ac:dyDescent="0.3">
      <c r="A22" s="64"/>
      <c r="B22" s="62"/>
      <c r="C22" s="78"/>
      <c r="D22" s="63">
        <f t="shared" si="6"/>
        <v>0</v>
      </c>
      <c r="E22" s="73">
        <f t="shared" si="0"/>
        <v>2500</v>
      </c>
      <c r="F22" s="61">
        <f t="shared" si="7"/>
        <v>0</v>
      </c>
      <c r="G22" s="62"/>
    </row>
    <row r="23" spans="1:7" ht="16.5" x14ac:dyDescent="0.3">
      <c r="A23" s="64"/>
      <c r="B23" s="62"/>
      <c r="C23" s="78"/>
      <c r="D23" s="63">
        <f t="shared" si="6"/>
        <v>0</v>
      </c>
      <c r="E23" s="73">
        <f t="shared" si="0"/>
        <v>2500</v>
      </c>
      <c r="F23" s="61">
        <f t="shared" si="7"/>
        <v>0</v>
      </c>
      <c r="G23" s="62"/>
    </row>
    <row r="24" spans="1:7" ht="16.5" x14ac:dyDescent="0.3">
      <c r="A24" s="64"/>
      <c r="B24" s="62"/>
      <c r="C24" s="78"/>
      <c r="D24" s="63">
        <f t="shared" si="6"/>
        <v>0</v>
      </c>
      <c r="E24" s="73">
        <f t="shared" si="0"/>
        <v>2500</v>
      </c>
      <c r="F24" s="61">
        <f t="shared" si="7"/>
        <v>0</v>
      </c>
      <c r="G24" s="62"/>
    </row>
    <row r="25" spans="1:7" ht="16.5" x14ac:dyDescent="0.3">
      <c r="A25" s="64"/>
      <c r="B25" s="62"/>
      <c r="C25" s="78"/>
      <c r="D25" s="63">
        <f t="shared" ref="D25:D31" si="8">+C25/1000</f>
        <v>0</v>
      </c>
      <c r="E25" s="73">
        <f t="shared" si="0"/>
        <v>2500</v>
      </c>
      <c r="F25" s="61">
        <f t="shared" ref="F25:F31" si="9">E25*D25</f>
        <v>0</v>
      </c>
      <c r="G25" s="62"/>
    </row>
    <row r="26" spans="1:7" ht="16.5" x14ac:dyDescent="0.3">
      <c r="A26" s="64"/>
      <c r="B26" s="62"/>
      <c r="C26" s="78"/>
      <c r="D26" s="63">
        <f t="shared" si="8"/>
        <v>0</v>
      </c>
      <c r="E26" s="73">
        <f t="shared" si="0"/>
        <v>2500</v>
      </c>
      <c r="F26" s="61">
        <f t="shared" si="9"/>
        <v>0</v>
      </c>
      <c r="G26" s="62"/>
    </row>
    <row r="27" spans="1:7" ht="16.5" x14ac:dyDescent="0.3">
      <c r="A27" s="64"/>
      <c r="B27" s="62"/>
      <c r="C27" s="78"/>
      <c r="D27" s="63">
        <f t="shared" si="8"/>
        <v>0</v>
      </c>
      <c r="E27" s="73">
        <f t="shared" si="0"/>
        <v>2500</v>
      </c>
      <c r="F27" s="61">
        <f t="shared" si="9"/>
        <v>0</v>
      </c>
      <c r="G27" s="62"/>
    </row>
    <row r="28" spans="1:7" ht="16.5" x14ac:dyDescent="0.3">
      <c r="A28" s="64"/>
      <c r="B28" s="62"/>
      <c r="C28" s="78"/>
      <c r="D28" s="63">
        <f t="shared" si="8"/>
        <v>0</v>
      </c>
      <c r="E28" s="73">
        <f t="shared" si="0"/>
        <v>2500</v>
      </c>
      <c r="F28" s="61">
        <f t="shared" si="9"/>
        <v>0</v>
      </c>
      <c r="G28" s="62"/>
    </row>
    <row r="29" spans="1:7" ht="16.5" x14ac:dyDescent="0.3">
      <c r="A29" s="64"/>
      <c r="B29" s="62"/>
      <c r="C29" s="78"/>
      <c r="D29" s="63">
        <f t="shared" si="8"/>
        <v>0</v>
      </c>
      <c r="E29" s="73">
        <f t="shared" si="0"/>
        <v>2500</v>
      </c>
      <c r="F29" s="61">
        <f t="shared" si="9"/>
        <v>0</v>
      </c>
      <c r="G29" s="62"/>
    </row>
    <row r="30" spans="1:7" ht="16.5" x14ac:dyDescent="0.3">
      <c r="A30" s="64"/>
      <c r="B30" s="62"/>
      <c r="C30" s="78"/>
      <c r="D30" s="63">
        <f t="shared" si="8"/>
        <v>0</v>
      </c>
      <c r="E30" s="73">
        <f t="shared" si="0"/>
        <v>2500</v>
      </c>
      <c r="F30" s="61">
        <f t="shared" si="9"/>
        <v>0</v>
      </c>
      <c r="G30" s="62"/>
    </row>
    <row r="31" spans="1:7" ht="16.5" x14ac:dyDescent="0.3">
      <c r="A31" s="64"/>
      <c r="B31" s="62"/>
      <c r="C31" s="78"/>
      <c r="D31" s="63">
        <f t="shared" si="8"/>
        <v>0</v>
      </c>
      <c r="E31" s="73">
        <f t="shared" si="0"/>
        <v>2500</v>
      </c>
      <c r="F31" s="61">
        <f t="shared" si="9"/>
        <v>0</v>
      </c>
      <c r="G31" s="62"/>
    </row>
    <row r="32" spans="1:7" ht="16.5" x14ac:dyDescent="0.3">
      <c r="A32" s="75" t="s">
        <v>400</v>
      </c>
      <c r="B32" s="75"/>
      <c r="C32" s="25" t="s">
        <v>328</v>
      </c>
      <c r="D32" s="31">
        <f>SUM(D4:D13)</f>
        <v>22.168760833333341</v>
      </c>
      <c r="E32" s="26" t="s">
        <v>329</v>
      </c>
      <c r="F32" s="27">
        <f>SUM(F4:F31)</f>
        <v>82454.352083333346</v>
      </c>
    </row>
  </sheetData>
  <mergeCells count="7">
    <mergeCell ref="B1:C1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  <ignoredErrors>
    <ignoredError sqref="D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zoomScaleNormal="100" workbookViewId="0">
      <selection activeCell="L10" sqref="L10"/>
    </sheetView>
  </sheetViews>
  <sheetFormatPr baseColWidth="10" defaultRowHeight="15" x14ac:dyDescent="0.25"/>
  <cols>
    <col min="1" max="1" width="12.7109375" style="70" bestFit="1" customWidth="1"/>
    <col min="2" max="2" width="14.42578125" bestFit="1" customWidth="1"/>
  </cols>
  <sheetData>
    <row r="1" spans="1:7" ht="16.5" x14ac:dyDescent="0.25">
      <c r="A1" s="69" t="s">
        <v>254</v>
      </c>
      <c r="B1" s="100" t="s">
        <v>502</v>
      </c>
      <c r="C1" s="101"/>
      <c r="D1" s="65"/>
      <c r="E1" s="66" t="s">
        <v>354</v>
      </c>
      <c r="F1" s="65" t="s">
        <v>511</v>
      </c>
      <c r="G1" s="65"/>
    </row>
    <row r="2" spans="1:7" ht="16.5" x14ac:dyDescent="0.25">
      <c r="A2" s="105" t="s">
        <v>255</v>
      </c>
      <c r="B2" s="102" t="s">
        <v>399</v>
      </c>
      <c r="C2" s="103" t="s">
        <v>256</v>
      </c>
      <c r="D2" s="102" t="s">
        <v>257</v>
      </c>
      <c r="E2" s="104" t="s">
        <v>258</v>
      </c>
      <c r="F2" s="102" t="s">
        <v>259</v>
      </c>
      <c r="G2" s="58" t="s">
        <v>260</v>
      </c>
    </row>
    <row r="3" spans="1:7" ht="16.5" x14ac:dyDescent="0.25">
      <c r="A3" s="105"/>
      <c r="B3" s="102"/>
      <c r="C3" s="103"/>
      <c r="D3" s="102"/>
      <c r="E3" s="104"/>
      <c r="F3" s="102"/>
      <c r="G3" s="58" t="s">
        <v>261</v>
      </c>
    </row>
    <row r="4" spans="1:7" ht="16.5" x14ac:dyDescent="0.3">
      <c r="A4" s="64"/>
      <c r="B4" s="62" t="s">
        <v>527</v>
      </c>
      <c r="C4" s="76">
        <v>627.78</v>
      </c>
      <c r="D4" s="63">
        <f t="shared" ref="D4:D17" si="0">+C4/1000</f>
        <v>0.62778</v>
      </c>
      <c r="E4" s="73">
        <f>IF(G4=1,4500,2500)</f>
        <v>2500</v>
      </c>
      <c r="F4" s="73">
        <f>E4*D4</f>
        <v>1569.45</v>
      </c>
      <c r="G4" s="62"/>
    </row>
    <row r="5" spans="1:7" ht="16.5" x14ac:dyDescent="0.3">
      <c r="A5" s="64"/>
      <c r="B5" s="62">
        <v>31945</v>
      </c>
      <c r="C5" s="76">
        <v>155</v>
      </c>
      <c r="D5" s="63">
        <f>+C5/1000</f>
        <v>0.155</v>
      </c>
      <c r="E5" s="73">
        <f t="shared" ref="E5:E32" si="1">IF(G5=1,4500,2500)</f>
        <v>2500</v>
      </c>
      <c r="F5" s="73">
        <f>E5*D5</f>
        <v>387.5</v>
      </c>
      <c r="G5" s="62"/>
    </row>
    <row r="6" spans="1:7" ht="16.5" x14ac:dyDescent="0.3">
      <c r="A6" s="64"/>
      <c r="B6" s="62" t="s">
        <v>529</v>
      </c>
      <c r="C6" s="76">
        <v>5626.708566666668</v>
      </c>
      <c r="D6" s="63">
        <f t="shared" si="0"/>
        <v>5.6267085666666681</v>
      </c>
      <c r="E6" s="73">
        <f t="shared" si="1"/>
        <v>4500</v>
      </c>
      <c r="F6" s="73">
        <f t="shared" ref="F6:F9" si="2">E6*D6</f>
        <v>25320.188550000006</v>
      </c>
      <c r="G6" s="62">
        <v>1</v>
      </c>
    </row>
    <row r="7" spans="1:7" ht="16.5" x14ac:dyDescent="0.3">
      <c r="A7" s="64"/>
      <c r="B7" s="62" t="s">
        <v>530</v>
      </c>
      <c r="C7" s="76">
        <v>384</v>
      </c>
      <c r="D7" s="63">
        <f t="shared" si="0"/>
        <v>0.38400000000000001</v>
      </c>
      <c r="E7" s="73">
        <f t="shared" si="1"/>
        <v>4500</v>
      </c>
      <c r="F7" s="73">
        <f t="shared" si="2"/>
        <v>1728</v>
      </c>
      <c r="G7" s="62">
        <v>1</v>
      </c>
    </row>
    <row r="8" spans="1:7" ht="16.5" x14ac:dyDescent="0.3">
      <c r="A8" s="64"/>
      <c r="B8" s="87" t="s">
        <v>534</v>
      </c>
      <c r="C8" s="76">
        <v>3280</v>
      </c>
      <c r="D8" s="63">
        <f t="shared" si="0"/>
        <v>3.28</v>
      </c>
      <c r="E8" s="73">
        <f t="shared" si="1"/>
        <v>2500</v>
      </c>
      <c r="F8" s="73">
        <f t="shared" si="2"/>
        <v>8200</v>
      </c>
      <c r="G8" s="62"/>
    </row>
    <row r="9" spans="1:7" ht="16.5" x14ac:dyDescent="0.3">
      <c r="A9" s="64"/>
      <c r="B9" s="62">
        <v>31953</v>
      </c>
      <c r="C9" s="76">
        <v>805.86</v>
      </c>
      <c r="D9" s="63">
        <f t="shared" si="0"/>
        <v>0.80586000000000002</v>
      </c>
      <c r="E9" s="73">
        <f t="shared" si="1"/>
        <v>2500</v>
      </c>
      <c r="F9" s="73">
        <f t="shared" si="2"/>
        <v>2014.65</v>
      </c>
      <c r="G9" s="62"/>
    </row>
    <row r="10" spans="1:7" ht="16.5" x14ac:dyDescent="0.3">
      <c r="A10" s="64"/>
      <c r="B10" s="62">
        <v>8544</v>
      </c>
      <c r="C10" s="76">
        <v>110.73333333333335</v>
      </c>
      <c r="D10" s="63">
        <f t="shared" si="0"/>
        <v>0.11073333333333335</v>
      </c>
      <c r="E10" s="73">
        <f t="shared" si="1"/>
        <v>4500</v>
      </c>
      <c r="F10" s="73">
        <f t="shared" ref="F10:F16" si="3">E10*D10</f>
        <v>498.30000000000007</v>
      </c>
      <c r="G10" s="62">
        <v>1</v>
      </c>
    </row>
    <row r="11" spans="1:7" ht="16.5" x14ac:dyDescent="0.3">
      <c r="A11" s="64"/>
      <c r="B11" s="62" t="s">
        <v>529</v>
      </c>
      <c r="C11" s="76">
        <v>5626.708566666668</v>
      </c>
      <c r="D11" s="63">
        <f t="shared" si="0"/>
        <v>5.6267085666666681</v>
      </c>
      <c r="E11" s="73">
        <f t="shared" si="1"/>
        <v>4500</v>
      </c>
      <c r="F11" s="73">
        <f t="shared" si="3"/>
        <v>25320.188550000006</v>
      </c>
      <c r="G11" s="62">
        <v>1</v>
      </c>
    </row>
    <row r="12" spans="1:7" ht="16.5" x14ac:dyDescent="0.3">
      <c r="A12" s="64"/>
      <c r="B12" s="62">
        <v>31949</v>
      </c>
      <c r="C12" s="76">
        <v>2476.0833333333335</v>
      </c>
      <c r="D12" s="63">
        <f t="shared" si="0"/>
        <v>2.4760833333333334</v>
      </c>
      <c r="E12" s="73">
        <f t="shared" si="1"/>
        <v>2500</v>
      </c>
      <c r="F12" s="73">
        <f t="shared" si="3"/>
        <v>6190.2083333333339</v>
      </c>
      <c r="G12" s="62"/>
    </row>
    <row r="13" spans="1:7" ht="16.5" x14ac:dyDescent="0.3">
      <c r="A13" s="64"/>
      <c r="B13" s="62" t="s">
        <v>549</v>
      </c>
      <c r="C13" s="76">
        <v>900</v>
      </c>
      <c r="D13" s="63">
        <f t="shared" si="0"/>
        <v>0.9</v>
      </c>
      <c r="E13" s="73">
        <f t="shared" si="1"/>
        <v>2500</v>
      </c>
      <c r="F13" s="73">
        <f t="shared" si="3"/>
        <v>2250</v>
      </c>
      <c r="G13" s="62"/>
    </row>
    <row r="14" spans="1:7" ht="16.5" x14ac:dyDescent="0.3">
      <c r="A14" s="64"/>
      <c r="B14" s="62">
        <v>31957</v>
      </c>
      <c r="C14" s="76">
        <v>952.00000000000068</v>
      </c>
      <c r="D14" s="88">
        <f t="shared" si="0"/>
        <v>0.95200000000000073</v>
      </c>
      <c r="E14" s="73">
        <f t="shared" si="1"/>
        <v>2500</v>
      </c>
      <c r="F14" s="73">
        <f t="shared" si="3"/>
        <v>2380.0000000000018</v>
      </c>
      <c r="G14" s="62"/>
    </row>
    <row r="15" spans="1:7" ht="16.5" x14ac:dyDescent="0.3">
      <c r="A15" s="64"/>
      <c r="B15" s="62" t="s">
        <v>556</v>
      </c>
      <c r="C15" s="76">
        <v>1930</v>
      </c>
      <c r="D15" s="88">
        <f t="shared" si="0"/>
        <v>1.93</v>
      </c>
      <c r="E15" s="73">
        <f t="shared" si="1"/>
        <v>2500</v>
      </c>
      <c r="F15" s="73">
        <f t="shared" ref="F15" si="4">E15*D15</f>
        <v>4825</v>
      </c>
      <c r="G15" s="62"/>
    </row>
    <row r="16" spans="1:7" ht="16.5" x14ac:dyDescent="0.3">
      <c r="A16" s="64"/>
      <c r="B16" s="62" t="s">
        <v>557</v>
      </c>
      <c r="C16" s="76">
        <v>48</v>
      </c>
      <c r="D16" s="88">
        <f t="shared" si="0"/>
        <v>4.8000000000000001E-2</v>
      </c>
      <c r="E16" s="73">
        <f t="shared" si="1"/>
        <v>2500</v>
      </c>
      <c r="F16" s="73">
        <f t="shared" si="3"/>
        <v>120</v>
      </c>
      <c r="G16" s="62"/>
    </row>
    <row r="17" spans="1:7" ht="16.5" x14ac:dyDescent="0.3">
      <c r="A17" s="64"/>
      <c r="B17" s="62" t="s">
        <v>558</v>
      </c>
      <c r="C17" s="76">
        <v>1818.8</v>
      </c>
      <c r="D17" s="63">
        <f t="shared" si="0"/>
        <v>1.8188</v>
      </c>
      <c r="E17" s="73">
        <f t="shared" si="1"/>
        <v>2500</v>
      </c>
      <c r="F17" s="73">
        <f t="shared" ref="F17:F20" si="5">E17*D17</f>
        <v>4547</v>
      </c>
      <c r="G17" s="62"/>
    </row>
    <row r="18" spans="1:7" ht="16.5" x14ac:dyDescent="0.3">
      <c r="A18" s="64"/>
      <c r="B18" s="62"/>
      <c r="C18" s="76"/>
      <c r="D18" s="63">
        <f t="shared" ref="D18:D20" si="6">C18/1000</f>
        <v>0</v>
      </c>
      <c r="E18" s="73">
        <f t="shared" si="1"/>
        <v>2500</v>
      </c>
      <c r="F18" s="73">
        <f t="shared" si="5"/>
        <v>0</v>
      </c>
      <c r="G18" s="62"/>
    </row>
    <row r="19" spans="1:7" ht="16.5" x14ac:dyDescent="0.3">
      <c r="A19" s="64"/>
      <c r="B19" s="62"/>
      <c r="C19" s="76"/>
      <c r="D19" s="63">
        <f t="shared" si="6"/>
        <v>0</v>
      </c>
      <c r="E19" s="73">
        <f t="shared" si="1"/>
        <v>2500</v>
      </c>
      <c r="F19" s="73">
        <f t="shared" ref="F19" si="7">E19*D19</f>
        <v>0</v>
      </c>
      <c r="G19" s="62"/>
    </row>
    <row r="20" spans="1:7" ht="16.5" x14ac:dyDescent="0.3">
      <c r="A20" s="64"/>
      <c r="B20" s="62"/>
      <c r="C20" s="76"/>
      <c r="D20" s="63">
        <f t="shared" si="6"/>
        <v>0</v>
      </c>
      <c r="E20" s="73">
        <f t="shared" si="1"/>
        <v>2500</v>
      </c>
      <c r="F20" s="73">
        <f t="shared" si="5"/>
        <v>0</v>
      </c>
      <c r="G20" s="62"/>
    </row>
    <row r="21" spans="1:7" ht="16.5" x14ac:dyDescent="0.3">
      <c r="A21" s="64"/>
      <c r="B21" s="62"/>
      <c r="C21" s="76"/>
      <c r="D21" s="63">
        <f t="shared" ref="D21:D24" si="8">C21/1000</f>
        <v>0</v>
      </c>
      <c r="E21" s="73">
        <f t="shared" si="1"/>
        <v>2500</v>
      </c>
      <c r="F21" s="73">
        <f t="shared" ref="F21:F24" si="9">E21*D21</f>
        <v>0</v>
      </c>
      <c r="G21" s="62"/>
    </row>
    <row r="22" spans="1:7" ht="16.5" x14ac:dyDescent="0.3">
      <c r="A22" s="64"/>
      <c r="B22" s="62"/>
      <c r="C22" s="76"/>
      <c r="D22" s="63">
        <f>C22/1000</f>
        <v>0</v>
      </c>
      <c r="E22" s="73">
        <f t="shared" si="1"/>
        <v>2500</v>
      </c>
      <c r="F22" s="61">
        <f t="shared" si="9"/>
        <v>0</v>
      </c>
      <c r="G22" s="62"/>
    </row>
    <row r="23" spans="1:7" ht="16.5" x14ac:dyDescent="0.3">
      <c r="A23" s="64"/>
      <c r="B23" s="62"/>
      <c r="C23" s="76"/>
      <c r="D23" s="63">
        <f t="shared" si="8"/>
        <v>0</v>
      </c>
      <c r="E23" s="73">
        <f t="shared" si="1"/>
        <v>2500</v>
      </c>
      <c r="F23" s="61">
        <f t="shared" si="9"/>
        <v>0</v>
      </c>
      <c r="G23" s="62"/>
    </row>
    <row r="24" spans="1:7" ht="16.5" x14ac:dyDescent="0.3">
      <c r="A24" s="64"/>
      <c r="B24" s="62"/>
      <c r="C24" s="76"/>
      <c r="D24" s="63">
        <f t="shared" si="8"/>
        <v>0</v>
      </c>
      <c r="E24" s="73">
        <f t="shared" si="1"/>
        <v>2500</v>
      </c>
      <c r="F24" s="73">
        <f t="shared" si="9"/>
        <v>0</v>
      </c>
      <c r="G24" s="62"/>
    </row>
    <row r="25" spans="1:7" ht="16.5" x14ac:dyDescent="0.3">
      <c r="A25" s="64"/>
      <c r="B25" s="62"/>
      <c r="C25" s="76"/>
      <c r="D25" s="63">
        <f t="shared" ref="D25:D32" si="10">C25/1000</f>
        <v>0</v>
      </c>
      <c r="E25" s="73">
        <f t="shared" si="1"/>
        <v>2500</v>
      </c>
      <c r="F25" s="73">
        <f t="shared" ref="F25:F32" si="11">E25*D25</f>
        <v>0</v>
      </c>
      <c r="G25" s="62"/>
    </row>
    <row r="26" spans="1:7" ht="16.5" x14ac:dyDescent="0.3">
      <c r="A26" s="64"/>
      <c r="B26" s="62"/>
      <c r="C26" s="76"/>
      <c r="D26" s="63">
        <f t="shared" si="10"/>
        <v>0</v>
      </c>
      <c r="E26" s="73">
        <f t="shared" si="1"/>
        <v>2500</v>
      </c>
      <c r="F26" s="61">
        <f t="shared" si="11"/>
        <v>0</v>
      </c>
      <c r="G26" s="62"/>
    </row>
    <row r="27" spans="1:7" ht="16.5" x14ac:dyDescent="0.3">
      <c r="A27" s="64"/>
      <c r="B27" s="62"/>
      <c r="C27" s="76"/>
      <c r="D27" s="63">
        <f t="shared" si="10"/>
        <v>0</v>
      </c>
      <c r="E27" s="73">
        <f t="shared" si="1"/>
        <v>2500</v>
      </c>
      <c r="F27" s="61">
        <f t="shared" si="11"/>
        <v>0</v>
      </c>
      <c r="G27" s="62"/>
    </row>
    <row r="28" spans="1:7" ht="16.5" x14ac:dyDescent="0.3">
      <c r="A28" s="64"/>
      <c r="B28" s="62"/>
      <c r="C28" s="76"/>
      <c r="D28" s="63">
        <f t="shared" si="10"/>
        <v>0</v>
      </c>
      <c r="E28" s="73">
        <f t="shared" si="1"/>
        <v>2500</v>
      </c>
      <c r="F28" s="73">
        <f t="shared" si="11"/>
        <v>0</v>
      </c>
      <c r="G28" s="62"/>
    </row>
    <row r="29" spans="1:7" ht="16.5" x14ac:dyDescent="0.3">
      <c r="A29" s="64"/>
      <c r="B29" s="62"/>
      <c r="C29" s="76"/>
      <c r="D29" s="63">
        <f t="shared" si="10"/>
        <v>0</v>
      </c>
      <c r="E29" s="73">
        <f t="shared" si="1"/>
        <v>2500</v>
      </c>
      <c r="F29" s="73">
        <f t="shared" si="11"/>
        <v>0</v>
      </c>
      <c r="G29" s="62"/>
    </row>
    <row r="30" spans="1:7" ht="16.5" x14ac:dyDescent="0.3">
      <c r="A30" s="64"/>
      <c r="B30" s="62"/>
      <c r="C30" s="76"/>
      <c r="D30" s="63">
        <f t="shared" si="10"/>
        <v>0</v>
      </c>
      <c r="E30" s="73">
        <f t="shared" si="1"/>
        <v>2500</v>
      </c>
      <c r="F30" s="61">
        <f t="shared" si="11"/>
        <v>0</v>
      </c>
      <c r="G30" s="62"/>
    </row>
    <row r="31" spans="1:7" ht="16.5" x14ac:dyDescent="0.3">
      <c r="A31" s="64"/>
      <c r="B31" s="62"/>
      <c r="C31" s="76"/>
      <c r="D31" s="63">
        <f t="shared" si="10"/>
        <v>0</v>
      </c>
      <c r="E31" s="73">
        <f t="shared" si="1"/>
        <v>2500</v>
      </c>
      <c r="F31" s="61">
        <f t="shared" si="11"/>
        <v>0</v>
      </c>
      <c r="G31" s="62"/>
    </row>
    <row r="32" spans="1:7" ht="16.5" x14ac:dyDescent="0.3">
      <c r="A32" s="64"/>
      <c r="B32" s="62"/>
      <c r="C32" s="76"/>
      <c r="D32" s="63">
        <f t="shared" si="10"/>
        <v>0</v>
      </c>
      <c r="E32" s="73">
        <f t="shared" si="1"/>
        <v>2500</v>
      </c>
      <c r="F32" s="73">
        <f t="shared" si="11"/>
        <v>0</v>
      </c>
      <c r="G32" s="62"/>
    </row>
    <row r="33" spans="3:6" ht="16.5" x14ac:dyDescent="0.3">
      <c r="C33" s="25" t="s">
        <v>328</v>
      </c>
      <c r="D33" s="31">
        <f>+SUM(D4:D20)</f>
        <v>24.741673800000004</v>
      </c>
      <c r="E33" s="26" t="s">
        <v>329</v>
      </c>
      <c r="F33" s="27">
        <f>SUM(F4:F32)</f>
        <v>85350.48543333335</v>
      </c>
    </row>
  </sheetData>
  <mergeCells count="7">
    <mergeCell ref="B1:C1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zoomScaleNormal="100" workbookViewId="0">
      <selection activeCell="N8" sqref="N8"/>
    </sheetView>
  </sheetViews>
  <sheetFormatPr baseColWidth="10" defaultRowHeight="15" x14ac:dyDescent="0.25"/>
  <cols>
    <col min="1" max="1" width="12.42578125" style="72" customWidth="1"/>
    <col min="2" max="2" width="12.42578125" customWidth="1"/>
    <col min="3" max="3" width="10.28515625" style="32" bestFit="1" customWidth="1"/>
    <col min="4" max="5" width="8.85546875" customWidth="1"/>
    <col min="7" max="7" width="10.42578125" customWidth="1"/>
  </cols>
  <sheetData>
    <row r="1" spans="1:7" ht="16.5" x14ac:dyDescent="0.3">
      <c r="A1" s="71" t="s">
        <v>254</v>
      </c>
      <c r="B1" s="100" t="s">
        <v>510</v>
      </c>
      <c r="C1" s="101"/>
      <c r="D1" s="65"/>
      <c r="E1" s="66" t="s">
        <v>354</v>
      </c>
      <c r="F1" s="65" t="s">
        <v>511</v>
      </c>
      <c r="G1" s="65"/>
    </row>
    <row r="2" spans="1:7" ht="16.5" x14ac:dyDescent="0.25">
      <c r="A2" s="105" t="s">
        <v>255</v>
      </c>
      <c r="B2" s="102" t="s">
        <v>399</v>
      </c>
      <c r="C2" s="106" t="s">
        <v>256</v>
      </c>
      <c r="D2" s="102" t="s">
        <v>257</v>
      </c>
      <c r="E2" s="104" t="s">
        <v>258</v>
      </c>
      <c r="F2" s="102" t="s">
        <v>259</v>
      </c>
      <c r="G2" s="58" t="s">
        <v>260</v>
      </c>
    </row>
    <row r="3" spans="1:7" ht="16.5" x14ac:dyDescent="0.25">
      <c r="A3" s="105"/>
      <c r="B3" s="102"/>
      <c r="C3" s="106"/>
      <c r="D3" s="102"/>
      <c r="E3" s="104"/>
      <c r="F3" s="102"/>
      <c r="G3" s="58" t="s">
        <v>261</v>
      </c>
    </row>
    <row r="4" spans="1:7" ht="16.5" x14ac:dyDescent="0.3">
      <c r="A4" s="64"/>
      <c r="B4" s="62">
        <v>31938</v>
      </c>
      <c r="C4" s="76">
        <v>3030.9838333333337</v>
      </c>
      <c r="D4" s="63">
        <f t="shared" ref="D4" si="0">+C4/1000</f>
        <v>3.0309838333333339</v>
      </c>
      <c r="E4" s="73">
        <f>IF(G4=1,4500,2500)</f>
        <v>2500</v>
      </c>
      <c r="F4" s="73">
        <f t="shared" ref="F4:F9" si="1">E4*D4</f>
        <v>7577.4595833333351</v>
      </c>
      <c r="G4" s="62"/>
    </row>
    <row r="5" spans="1:7" ht="16.5" x14ac:dyDescent="0.3">
      <c r="A5" s="64"/>
      <c r="B5" s="62" t="s">
        <v>532</v>
      </c>
      <c r="C5" s="76">
        <v>6066.7432333333363</v>
      </c>
      <c r="D5" s="63">
        <f>C5/1000</f>
        <v>6.0667432333333364</v>
      </c>
      <c r="E5" s="73">
        <f t="shared" ref="E5:E31" si="2">IF(G5=1,4500,2500)</f>
        <v>2500</v>
      </c>
      <c r="F5" s="73">
        <f t="shared" si="1"/>
        <v>15166.858083333342</v>
      </c>
      <c r="G5" s="62"/>
    </row>
    <row r="6" spans="1:7" ht="16.5" x14ac:dyDescent="0.3">
      <c r="A6" s="64"/>
      <c r="B6" s="62" t="s">
        <v>539</v>
      </c>
      <c r="C6" s="76">
        <v>8854.6666666666679</v>
      </c>
      <c r="D6" s="63">
        <f t="shared" ref="D6:D12" si="3">+C6/1000</f>
        <v>8.8546666666666685</v>
      </c>
      <c r="E6" s="73">
        <f t="shared" si="2"/>
        <v>2500</v>
      </c>
      <c r="F6" s="73">
        <f t="shared" si="1"/>
        <v>22136.666666666672</v>
      </c>
      <c r="G6" s="62"/>
    </row>
    <row r="7" spans="1:7" ht="16.5" x14ac:dyDescent="0.3">
      <c r="A7" s="64"/>
      <c r="B7" s="62" t="s">
        <v>542</v>
      </c>
      <c r="C7" s="76">
        <v>4732.7199999999993</v>
      </c>
      <c r="D7" s="63">
        <f t="shared" si="3"/>
        <v>4.7327199999999996</v>
      </c>
      <c r="E7" s="73">
        <f t="shared" si="2"/>
        <v>2500</v>
      </c>
      <c r="F7" s="73">
        <f t="shared" si="1"/>
        <v>11831.8</v>
      </c>
      <c r="G7" s="62"/>
    </row>
    <row r="8" spans="1:7" ht="16.5" x14ac:dyDescent="0.3">
      <c r="A8" s="64"/>
      <c r="B8" s="62">
        <v>31943</v>
      </c>
      <c r="C8" s="76">
        <v>601.52</v>
      </c>
      <c r="D8" s="63">
        <f t="shared" si="3"/>
        <v>0.60151999999999994</v>
      </c>
      <c r="E8" s="73">
        <f t="shared" si="2"/>
        <v>2500</v>
      </c>
      <c r="F8" s="73">
        <f t="shared" si="1"/>
        <v>1503.8</v>
      </c>
      <c r="G8" s="62"/>
    </row>
    <row r="9" spans="1:7" ht="16.5" x14ac:dyDescent="0.3">
      <c r="A9" s="64"/>
      <c r="B9" s="62" t="s">
        <v>545</v>
      </c>
      <c r="C9" s="76">
        <v>514.07999999999993</v>
      </c>
      <c r="D9" s="63">
        <f t="shared" si="3"/>
        <v>0.51407999999999998</v>
      </c>
      <c r="E9" s="73">
        <f t="shared" si="2"/>
        <v>2500</v>
      </c>
      <c r="F9" s="73">
        <f t="shared" si="1"/>
        <v>1285.2</v>
      </c>
      <c r="G9" s="62"/>
    </row>
    <row r="10" spans="1:7" ht="16.5" x14ac:dyDescent="0.3">
      <c r="A10" s="64"/>
      <c r="B10" s="62" t="s">
        <v>546</v>
      </c>
      <c r="C10" s="77">
        <v>1820.6</v>
      </c>
      <c r="D10" s="63">
        <f t="shared" si="3"/>
        <v>1.8206</v>
      </c>
      <c r="E10" s="73">
        <f t="shared" si="2"/>
        <v>2500</v>
      </c>
      <c r="F10" s="73">
        <f t="shared" ref="F10:F11" si="4">E10*D10</f>
        <v>4551.5</v>
      </c>
      <c r="G10" s="62"/>
    </row>
    <row r="11" spans="1:7" ht="16.5" x14ac:dyDescent="0.3">
      <c r="A11" s="64"/>
      <c r="B11" s="62" t="s">
        <v>559</v>
      </c>
      <c r="C11" s="77">
        <v>51.870000000000005</v>
      </c>
      <c r="D11" s="63">
        <f t="shared" si="3"/>
        <v>5.1870000000000006E-2</v>
      </c>
      <c r="E11" s="73">
        <f t="shared" si="2"/>
        <v>2500</v>
      </c>
      <c r="F11" s="73">
        <f t="shared" si="4"/>
        <v>129.67500000000001</v>
      </c>
      <c r="G11" s="62"/>
    </row>
    <row r="12" spans="1:7" ht="16.5" x14ac:dyDescent="0.3">
      <c r="A12" s="64"/>
      <c r="B12" s="62" t="s">
        <v>560</v>
      </c>
      <c r="C12" s="77">
        <v>434.34</v>
      </c>
      <c r="D12" s="63">
        <f t="shared" si="3"/>
        <v>0.43433999999999995</v>
      </c>
      <c r="E12" s="73">
        <f t="shared" si="2"/>
        <v>2500</v>
      </c>
      <c r="F12" s="73">
        <f t="shared" ref="F12:F14" si="5">E12*D12</f>
        <v>1085.8499999999999</v>
      </c>
      <c r="G12" s="62"/>
    </row>
    <row r="13" spans="1:7" ht="16.5" x14ac:dyDescent="0.3">
      <c r="A13" s="64"/>
      <c r="B13" s="62" t="s">
        <v>561</v>
      </c>
      <c r="C13" s="77">
        <v>960</v>
      </c>
      <c r="D13" s="63">
        <f t="shared" ref="D13:D14" si="6">C13/1000</f>
        <v>0.96</v>
      </c>
      <c r="E13" s="73">
        <f t="shared" si="2"/>
        <v>2500</v>
      </c>
      <c r="F13" s="73">
        <f t="shared" ref="F13" si="7">E13*D13</f>
        <v>2400</v>
      </c>
      <c r="G13" s="62"/>
    </row>
    <row r="14" spans="1:7" ht="16.5" x14ac:dyDescent="0.3">
      <c r="A14" s="64"/>
      <c r="B14" s="62" t="s">
        <v>562</v>
      </c>
      <c r="C14" s="77">
        <v>1258.6300000000001</v>
      </c>
      <c r="D14" s="63">
        <f t="shared" si="6"/>
        <v>1.2586300000000001</v>
      </c>
      <c r="E14" s="73">
        <f t="shared" si="2"/>
        <v>2500</v>
      </c>
      <c r="F14" s="73">
        <f t="shared" si="5"/>
        <v>3146.5750000000003</v>
      </c>
      <c r="G14" s="62"/>
    </row>
    <row r="15" spans="1:7" ht="16.5" x14ac:dyDescent="0.3">
      <c r="A15" s="64"/>
      <c r="B15" s="62"/>
      <c r="C15" s="77"/>
      <c r="D15" s="63">
        <f t="shared" ref="D15:D21" si="8">C15/1000</f>
        <v>0</v>
      </c>
      <c r="E15" s="73">
        <f t="shared" si="2"/>
        <v>2500</v>
      </c>
      <c r="F15" s="73">
        <f t="shared" ref="F15:F21" si="9">E15*D15</f>
        <v>0</v>
      </c>
      <c r="G15" s="62"/>
    </row>
    <row r="16" spans="1:7" ht="16.5" x14ac:dyDescent="0.3">
      <c r="A16" s="64"/>
      <c r="B16" s="62"/>
      <c r="C16" s="77"/>
      <c r="D16" s="63">
        <f t="shared" si="8"/>
        <v>0</v>
      </c>
      <c r="E16" s="73">
        <f t="shared" si="2"/>
        <v>2500</v>
      </c>
      <c r="F16" s="73">
        <f t="shared" si="9"/>
        <v>0</v>
      </c>
      <c r="G16" s="62"/>
    </row>
    <row r="17" spans="1:7" ht="16.5" x14ac:dyDescent="0.3">
      <c r="A17" s="64"/>
      <c r="B17" s="62"/>
      <c r="C17" s="86"/>
      <c r="D17" s="63">
        <f t="shared" si="8"/>
        <v>0</v>
      </c>
      <c r="E17" s="73">
        <f t="shared" si="2"/>
        <v>2500</v>
      </c>
      <c r="F17" s="73">
        <f t="shared" si="9"/>
        <v>0</v>
      </c>
      <c r="G17" s="62"/>
    </row>
    <row r="18" spans="1:7" ht="16.5" x14ac:dyDescent="0.3">
      <c r="A18" s="64"/>
      <c r="B18" s="62"/>
      <c r="C18" s="77"/>
      <c r="D18" s="63">
        <f t="shared" si="8"/>
        <v>0</v>
      </c>
      <c r="E18" s="73">
        <f t="shared" si="2"/>
        <v>2500</v>
      </c>
      <c r="F18" s="73">
        <f t="shared" si="9"/>
        <v>0</v>
      </c>
      <c r="G18" s="62"/>
    </row>
    <row r="19" spans="1:7" ht="16.5" x14ac:dyDescent="0.3">
      <c r="A19" s="64"/>
      <c r="B19" s="62"/>
      <c r="C19" s="77"/>
      <c r="D19" s="63">
        <f t="shared" si="8"/>
        <v>0</v>
      </c>
      <c r="E19" s="73">
        <f t="shared" si="2"/>
        <v>2500</v>
      </c>
      <c r="F19" s="73">
        <f t="shared" si="9"/>
        <v>0</v>
      </c>
      <c r="G19" s="62"/>
    </row>
    <row r="20" spans="1:7" ht="16.5" x14ac:dyDescent="0.3">
      <c r="A20" s="64"/>
      <c r="B20" s="62"/>
      <c r="C20" s="77"/>
      <c r="D20" s="63">
        <f t="shared" si="8"/>
        <v>0</v>
      </c>
      <c r="E20" s="73">
        <f t="shared" si="2"/>
        <v>2500</v>
      </c>
      <c r="F20" s="73">
        <f t="shared" si="9"/>
        <v>0</v>
      </c>
      <c r="G20" s="62"/>
    </row>
    <row r="21" spans="1:7" ht="16.5" x14ac:dyDescent="0.3">
      <c r="A21" s="64"/>
      <c r="B21" s="62"/>
      <c r="C21" s="77"/>
      <c r="D21" s="63">
        <f t="shared" si="8"/>
        <v>0</v>
      </c>
      <c r="E21" s="73">
        <f t="shared" si="2"/>
        <v>2500</v>
      </c>
      <c r="F21" s="73">
        <f t="shared" si="9"/>
        <v>0</v>
      </c>
      <c r="G21" s="62"/>
    </row>
    <row r="22" spans="1:7" ht="16.5" x14ac:dyDescent="0.3">
      <c r="A22" s="64"/>
      <c r="B22" s="62"/>
      <c r="C22" s="77"/>
      <c r="D22" s="63">
        <f t="shared" ref="D22:D30" si="10">C22/1000</f>
        <v>0</v>
      </c>
      <c r="E22" s="73">
        <f t="shared" si="2"/>
        <v>2500</v>
      </c>
      <c r="F22" s="73">
        <f t="shared" ref="F22:F30" si="11">E22*D22</f>
        <v>0</v>
      </c>
      <c r="G22" s="62"/>
    </row>
    <row r="23" spans="1:7" ht="16.5" x14ac:dyDescent="0.3">
      <c r="A23" s="64"/>
      <c r="B23" s="62"/>
      <c r="C23" s="77"/>
      <c r="D23" s="63">
        <f t="shared" ref="D23:D24" si="12">C23/1000</f>
        <v>0</v>
      </c>
      <c r="E23" s="73">
        <f t="shared" si="2"/>
        <v>2500</v>
      </c>
      <c r="F23" s="73">
        <f t="shared" ref="F23:F24" si="13">E23*D23</f>
        <v>0</v>
      </c>
      <c r="G23" s="62"/>
    </row>
    <row r="24" spans="1:7" ht="16.5" x14ac:dyDescent="0.3">
      <c r="A24" s="64"/>
      <c r="B24" s="62"/>
      <c r="C24" s="77"/>
      <c r="D24" s="63">
        <f t="shared" si="12"/>
        <v>0</v>
      </c>
      <c r="E24" s="73">
        <f t="shared" si="2"/>
        <v>2500</v>
      </c>
      <c r="F24" s="73">
        <f t="shared" si="13"/>
        <v>0</v>
      </c>
      <c r="G24" s="62"/>
    </row>
    <row r="25" spans="1:7" ht="16.5" x14ac:dyDescent="0.3">
      <c r="A25" s="64"/>
      <c r="B25" s="62"/>
      <c r="C25" s="77"/>
      <c r="D25" s="63">
        <f t="shared" ref="D25:D26" si="14">C25/1000</f>
        <v>0</v>
      </c>
      <c r="E25" s="73">
        <f t="shared" si="2"/>
        <v>2500</v>
      </c>
      <c r="F25" s="73">
        <f t="shared" ref="F25:F26" si="15">E25*D25</f>
        <v>0</v>
      </c>
      <c r="G25" s="62"/>
    </row>
    <row r="26" spans="1:7" ht="16.5" x14ac:dyDescent="0.3">
      <c r="A26" s="64"/>
      <c r="B26" s="62"/>
      <c r="C26" s="77"/>
      <c r="D26" s="63">
        <f t="shared" si="14"/>
        <v>0</v>
      </c>
      <c r="E26" s="73">
        <f t="shared" si="2"/>
        <v>2500</v>
      </c>
      <c r="F26" s="73">
        <f t="shared" si="15"/>
        <v>0</v>
      </c>
      <c r="G26" s="62"/>
    </row>
    <row r="27" spans="1:7" ht="16.5" x14ac:dyDescent="0.3">
      <c r="A27" s="64"/>
      <c r="B27" s="62"/>
      <c r="C27" s="77"/>
      <c r="D27" s="63">
        <f t="shared" si="10"/>
        <v>0</v>
      </c>
      <c r="E27" s="73">
        <f t="shared" si="2"/>
        <v>2500</v>
      </c>
      <c r="F27" s="73">
        <f t="shared" si="11"/>
        <v>0</v>
      </c>
      <c r="G27" s="62"/>
    </row>
    <row r="28" spans="1:7" ht="16.5" x14ac:dyDescent="0.3">
      <c r="A28" s="64"/>
      <c r="B28" s="62"/>
      <c r="C28" s="77"/>
      <c r="D28" s="63">
        <f t="shared" si="10"/>
        <v>0</v>
      </c>
      <c r="E28" s="73">
        <f t="shared" si="2"/>
        <v>2500</v>
      </c>
      <c r="F28" s="73">
        <f t="shared" si="11"/>
        <v>0</v>
      </c>
      <c r="G28" s="62"/>
    </row>
    <row r="29" spans="1:7" ht="16.5" x14ac:dyDescent="0.3">
      <c r="A29" s="64"/>
      <c r="B29" s="62"/>
      <c r="C29" s="77"/>
      <c r="D29" s="63">
        <f t="shared" si="10"/>
        <v>0</v>
      </c>
      <c r="E29" s="73">
        <f t="shared" si="2"/>
        <v>2500</v>
      </c>
      <c r="F29" s="73">
        <f t="shared" si="11"/>
        <v>0</v>
      </c>
      <c r="G29" s="62"/>
    </row>
    <row r="30" spans="1:7" ht="16.5" x14ac:dyDescent="0.3">
      <c r="A30" s="64"/>
      <c r="B30" s="62"/>
      <c r="C30" s="77"/>
      <c r="D30" s="63">
        <f t="shared" si="10"/>
        <v>0</v>
      </c>
      <c r="E30" s="73">
        <f t="shared" si="2"/>
        <v>2500</v>
      </c>
      <c r="F30" s="73">
        <f t="shared" si="11"/>
        <v>0</v>
      </c>
      <c r="G30" s="62"/>
    </row>
    <row r="31" spans="1:7" ht="16.5" x14ac:dyDescent="0.3">
      <c r="A31" s="64"/>
      <c r="B31" s="62"/>
      <c r="C31" s="77"/>
      <c r="D31" s="63">
        <f>C31/1000</f>
        <v>0</v>
      </c>
      <c r="E31" s="73">
        <f t="shared" si="2"/>
        <v>2500</v>
      </c>
      <c r="F31" s="73">
        <f>E31*D31</f>
        <v>0</v>
      </c>
      <c r="G31" s="62"/>
    </row>
    <row r="32" spans="1:7" ht="16.5" x14ac:dyDescent="0.3">
      <c r="C32" s="25" t="s">
        <v>328</v>
      </c>
      <c r="D32" s="31">
        <f>SUM(D4:D14)</f>
        <v>28.326153733333339</v>
      </c>
      <c r="E32" s="26" t="s">
        <v>329</v>
      </c>
      <c r="F32" s="57">
        <f>SUM(F4:F31)</f>
        <v>70815.384333333335</v>
      </c>
    </row>
  </sheetData>
  <sortState xmlns:xlrd2="http://schemas.microsoft.com/office/spreadsheetml/2017/richdata2" ref="A4:G24">
    <sortCondition ref="A4"/>
  </sortState>
  <mergeCells count="7">
    <mergeCell ref="B1:C1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0300-4D9F-4376-8CC6-A864143152FD}">
  <dimension ref="A1:G28"/>
  <sheetViews>
    <sheetView zoomScaleNormal="100" workbookViewId="0">
      <selection activeCell="K8" sqref="K8"/>
    </sheetView>
  </sheetViews>
  <sheetFormatPr baseColWidth="10" defaultRowHeight="15" x14ac:dyDescent="0.25"/>
  <cols>
    <col min="1" max="1" width="12.140625" customWidth="1"/>
  </cols>
  <sheetData>
    <row r="1" spans="1:7" ht="16.5" x14ac:dyDescent="0.3">
      <c r="A1" s="71" t="s">
        <v>254</v>
      </c>
      <c r="B1" s="100" t="s">
        <v>522</v>
      </c>
      <c r="C1" s="101"/>
      <c r="D1" s="65"/>
      <c r="E1" s="66" t="s">
        <v>354</v>
      </c>
      <c r="F1" s="65" t="s">
        <v>511</v>
      </c>
      <c r="G1" s="65"/>
    </row>
    <row r="2" spans="1:7" ht="16.5" x14ac:dyDescent="0.25">
      <c r="A2" s="105" t="s">
        <v>255</v>
      </c>
      <c r="B2" s="102" t="s">
        <v>399</v>
      </c>
      <c r="C2" s="106" t="s">
        <v>256</v>
      </c>
      <c r="D2" s="102" t="s">
        <v>257</v>
      </c>
      <c r="E2" s="104" t="s">
        <v>258</v>
      </c>
      <c r="F2" s="102" t="s">
        <v>259</v>
      </c>
      <c r="G2" s="58" t="s">
        <v>260</v>
      </c>
    </row>
    <row r="3" spans="1:7" ht="16.5" x14ac:dyDescent="0.25">
      <c r="A3" s="105"/>
      <c r="B3" s="102"/>
      <c r="C3" s="106"/>
      <c r="D3" s="102"/>
      <c r="E3" s="104"/>
      <c r="F3" s="102"/>
      <c r="G3" s="58" t="s">
        <v>261</v>
      </c>
    </row>
    <row r="4" spans="1:7" ht="16.5" x14ac:dyDescent="0.3">
      <c r="A4" s="64"/>
      <c r="B4" s="62" t="s">
        <v>526</v>
      </c>
      <c r="C4" s="77">
        <v>1152</v>
      </c>
      <c r="D4" s="63">
        <f t="shared" ref="D4:D16" si="0">+C4/1000</f>
        <v>1.1519999999999999</v>
      </c>
      <c r="E4" s="73">
        <f>IF(G4=1,4500,2500)</f>
        <v>2500</v>
      </c>
      <c r="F4" s="73">
        <f t="shared" ref="F4:F16" si="1">E4*D4</f>
        <v>2880</v>
      </c>
      <c r="G4" s="62"/>
    </row>
    <row r="5" spans="1:7" ht="16.5" x14ac:dyDescent="0.3">
      <c r="A5" s="64"/>
      <c r="B5" s="62">
        <v>31941</v>
      </c>
      <c r="C5" s="77">
        <v>192</v>
      </c>
      <c r="D5" s="63">
        <f t="shared" si="0"/>
        <v>0.192</v>
      </c>
      <c r="E5" s="73">
        <f t="shared" ref="E5:E27" si="2">IF(G5=1,4500,2500)</f>
        <v>2500</v>
      </c>
      <c r="F5" s="73">
        <f t="shared" si="1"/>
        <v>480</v>
      </c>
      <c r="G5" s="62"/>
    </row>
    <row r="6" spans="1:7" ht="16.5" x14ac:dyDescent="0.3">
      <c r="A6" s="64"/>
      <c r="B6" s="62" t="s">
        <v>531</v>
      </c>
      <c r="C6" s="77">
        <v>255.95999999999998</v>
      </c>
      <c r="D6" s="63">
        <f t="shared" si="0"/>
        <v>0.25595999999999997</v>
      </c>
      <c r="E6" s="73">
        <f t="shared" si="2"/>
        <v>2500</v>
      </c>
      <c r="F6" s="73">
        <f t="shared" si="1"/>
        <v>639.89999999999986</v>
      </c>
      <c r="G6" s="62"/>
    </row>
    <row r="7" spans="1:7" ht="16.5" x14ac:dyDescent="0.3">
      <c r="A7" s="64"/>
      <c r="B7" s="62">
        <v>31907</v>
      </c>
      <c r="C7" s="77">
        <v>1023.9</v>
      </c>
      <c r="D7" s="63">
        <f t="shared" si="0"/>
        <v>1.0239</v>
      </c>
      <c r="E7" s="73">
        <f t="shared" si="2"/>
        <v>2500</v>
      </c>
      <c r="F7" s="73">
        <f t="shared" si="1"/>
        <v>2559.75</v>
      </c>
      <c r="G7" s="62"/>
    </row>
    <row r="8" spans="1:7" ht="16.5" x14ac:dyDescent="0.3">
      <c r="A8" s="64"/>
      <c r="B8" s="62" t="s">
        <v>535</v>
      </c>
      <c r="C8" s="77">
        <v>147.20000000000002</v>
      </c>
      <c r="D8" s="63">
        <f t="shared" si="0"/>
        <v>0.14720000000000003</v>
      </c>
      <c r="E8" s="73">
        <f t="shared" si="2"/>
        <v>2500</v>
      </c>
      <c r="F8" s="73">
        <f t="shared" si="1"/>
        <v>368.00000000000006</v>
      </c>
      <c r="G8" s="62"/>
    </row>
    <row r="9" spans="1:7" ht="16.5" x14ac:dyDescent="0.3">
      <c r="A9" s="64"/>
      <c r="B9" s="62" t="s">
        <v>536</v>
      </c>
      <c r="C9" s="77">
        <v>2796.0733333333337</v>
      </c>
      <c r="D9" s="63">
        <f t="shared" si="0"/>
        <v>2.7960733333333336</v>
      </c>
      <c r="E9" s="73">
        <f t="shared" si="2"/>
        <v>2500</v>
      </c>
      <c r="F9" s="73">
        <f t="shared" si="1"/>
        <v>6990.1833333333343</v>
      </c>
      <c r="G9" s="62"/>
    </row>
    <row r="10" spans="1:7" ht="16.5" x14ac:dyDescent="0.3">
      <c r="A10" s="64"/>
      <c r="B10" s="62" t="s">
        <v>550</v>
      </c>
      <c r="C10" s="77">
        <v>88.666666666666686</v>
      </c>
      <c r="D10" s="63">
        <f t="shared" si="0"/>
        <v>8.8666666666666685E-2</v>
      </c>
      <c r="E10" s="73">
        <f t="shared" si="2"/>
        <v>2500</v>
      </c>
      <c r="F10" s="73">
        <f t="shared" si="1"/>
        <v>221.66666666666671</v>
      </c>
      <c r="G10" s="62"/>
    </row>
    <row r="11" spans="1:7" ht="16.5" x14ac:dyDescent="0.3">
      <c r="A11" s="64"/>
      <c r="B11" s="62">
        <v>31926</v>
      </c>
      <c r="C11" s="77">
        <v>604.63</v>
      </c>
      <c r="D11" s="63">
        <f t="shared" si="0"/>
        <v>0.60463</v>
      </c>
      <c r="E11" s="73">
        <f t="shared" si="2"/>
        <v>4500</v>
      </c>
      <c r="F11" s="73">
        <f t="shared" si="1"/>
        <v>2720.835</v>
      </c>
      <c r="G11" s="62">
        <v>1</v>
      </c>
    </row>
    <row r="12" spans="1:7" ht="16.5" x14ac:dyDescent="0.3">
      <c r="A12" s="64"/>
      <c r="B12" s="62">
        <v>31959</v>
      </c>
      <c r="C12" s="77">
        <v>3752.5</v>
      </c>
      <c r="D12" s="63">
        <f t="shared" si="0"/>
        <v>3.7524999999999999</v>
      </c>
      <c r="E12" s="73">
        <f t="shared" si="2"/>
        <v>2500</v>
      </c>
      <c r="F12" s="73">
        <f t="shared" si="1"/>
        <v>9381.25</v>
      </c>
      <c r="G12" s="62"/>
    </row>
    <row r="13" spans="1:7" ht="16.5" x14ac:dyDescent="0.3">
      <c r="A13" s="64"/>
      <c r="B13" s="62" t="s">
        <v>555</v>
      </c>
      <c r="C13" s="77">
        <v>850.2</v>
      </c>
      <c r="D13" s="63">
        <f t="shared" si="0"/>
        <v>0.85020000000000007</v>
      </c>
      <c r="E13" s="73">
        <f t="shared" si="2"/>
        <v>2500</v>
      </c>
      <c r="F13" s="73">
        <f t="shared" si="1"/>
        <v>2125.5</v>
      </c>
      <c r="G13" s="62"/>
    </row>
    <row r="14" spans="1:7" ht="16.5" x14ac:dyDescent="0.3">
      <c r="A14" s="64"/>
      <c r="B14" s="62"/>
      <c r="C14" s="77"/>
      <c r="D14" s="63">
        <f t="shared" si="0"/>
        <v>0</v>
      </c>
      <c r="E14" s="73">
        <f t="shared" si="2"/>
        <v>2500</v>
      </c>
      <c r="F14" s="73">
        <f t="shared" si="1"/>
        <v>0</v>
      </c>
      <c r="G14" s="62"/>
    </row>
    <row r="15" spans="1:7" ht="16.5" x14ac:dyDescent="0.3">
      <c r="A15" s="64"/>
      <c r="B15" s="62"/>
      <c r="C15" s="77"/>
      <c r="D15" s="63">
        <f t="shared" si="0"/>
        <v>0</v>
      </c>
      <c r="E15" s="73">
        <f t="shared" si="2"/>
        <v>2500</v>
      </c>
      <c r="F15" s="73">
        <f t="shared" si="1"/>
        <v>0</v>
      </c>
      <c r="G15" s="62"/>
    </row>
    <row r="16" spans="1:7" ht="16.5" x14ac:dyDescent="0.3">
      <c r="A16" s="64"/>
      <c r="B16" s="62"/>
      <c r="C16" s="77"/>
      <c r="D16" s="63">
        <f t="shared" si="0"/>
        <v>0</v>
      </c>
      <c r="E16" s="73">
        <f t="shared" si="2"/>
        <v>2500</v>
      </c>
      <c r="F16" s="73">
        <f t="shared" si="1"/>
        <v>0</v>
      </c>
      <c r="G16" s="62"/>
    </row>
    <row r="17" spans="1:7" ht="16.5" x14ac:dyDescent="0.3">
      <c r="A17" s="64"/>
      <c r="B17" s="62"/>
      <c r="C17" s="77"/>
      <c r="D17" s="63">
        <f t="shared" ref="D17" si="3">+C17/1000</f>
        <v>0</v>
      </c>
      <c r="E17" s="73">
        <f t="shared" si="2"/>
        <v>2500</v>
      </c>
      <c r="F17" s="73">
        <f t="shared" ref="F17:F20" si="4">E17*D17</f>
        <v>0</v>
      </c>
      <c r="G17" s="62"/>
    </row>
    <row r="18" spans="1:7" ht="16.5" x14ac:dyDescent="0.3">
      <c r="A18" s="64"/>
      <c r="B18" s="62"/>
      <c r="C18" s="77"/>
      <c r="D18" s="63">
        <f t="shared" ref="D18:D20" si="5">C18/1000</f>
        <v>0</v>
      </c>
      <c r="E18" s="73">
        <f t="shared" si="2"/>
        <v>2500</v>
      </c>
      <c r="F18" s="73">
        <f t="shared" si="4"/>
        <v>0</v>
      </c>
      <c r="G18" s="62"/>
    </row>
    <row r="19" spans="1:7" ht="16.5" x14ac:dyDescent="0.3">
      <c r="A19" s="64"/>
      <c r="B19" s="62"/>
      <c r="C19" s="77"/>
      <c r="D19" s="63">
        <f t="shared" si="5"/>
        <v>0</v>
      </c>
      <c r="E19" s="73">
        <f t="shared" si="2"/>
        <v>2500</v>
      </c>
      <c r="F19" s="73">
        <f t="shared" si="4"/>
        <v>0</v>
      </c>
      <c r="G19" s="62"/>
    </row>
    <row r="20" spans="1:7" ht="16.5" x14ac:dyDescent="0.3">
      <c r="A20" s="64"/>
      <c r="B20" s="62"/>
      <c r="C20" s="77"/>
      <c r="D20" s="63">
        <f t="shared" si="5"/>
        <v>0</v>
      </c>
      <c r="E20" s="73">
        <f t="shared" si="2"/>
        <v>2500</v>
      </c>
      <c r="F20" s="73">
        <f t="shared" si="4"/>
        <v>0</v>
      </c>
      <c r="G20" s="62"/>
    </row>
    <row r="21" spans="1:7" ht="16.5" x14ac:dyDescent="0.3">
      <c r="A21" s="64"/>
      <c r="B21" s="62"/>
      <c r="C21" s="77"/>
      <c r="D21" s="63">
        <f t="shared" ref="D21:D27" si="6">C21/1000</f>
        <v>0</v>
      </c>
      <c r="E21" s="73">
        <f t="shared" si="2"/>
        <v>2500</v>
      </c>
      <c r="F21" s="73">
        <f t="shared" ref="F21:F27" si="7">E21*D21</f>
        <v>0</v>
      </c>
      <c r="G21" s="62"/>
    </row>
    <row r="22" spans="1:7" ht="16.5" x14ac:dyDescent="0.3">
      <c r="A22" s="64"/>
      <c r="B22" s="62"/>
      <c r="C22" s="77"/>
      <c r="D22" s="63">
        <f t="shared" si="6"/>
        <v>0</v>
      </c>
      <c r="E22" s="73">
        <f t="shared" si="2"/>
        <v>2500</v>
      </c>
      <c r="F22" s="73">
        <f t="shared" si="7"/>
        <v>0</v>
      </c>
      <c r="G22" s="62"/>
    </row>
    <row r="23" spans="1:7" ht="16.5" x14ac:dyDescent="0.3">
      <c r="A23" s="64"/>
      <c r="B23" s="62"/>
      <c r="C23" s="77"/>
      <c r="D23" s="63">
        <f t="shared" si="6"/>
        <v>0</v>
      </c>
      <c r="E23" s="73">
        <f t="shared" si="2"/>
        <v>2500</v>
      </c>
      <c r="F23" s="73">
        <f t="shared" si="7"/>
        <v>0</v>
      </c>
      <c r="G23" s="62"/>
    </row>
    <row r="24" spans="1:7" ht="16.5" x14ac:dyDescent="0.3">
      <c r="A24" s="64"/>
      <c r="B24" s="62"/>
      <c r="C24" s="77"/>
      <c r="D24" s="63">
        <f t="shared" si="6"/>
        <v>0</v>
      </c>
      <c r="E24" s="73">
        <f t="shared" si="2"/>
        <v>2500</v>
      </c>
      <c r="F24" s="73">
        <f t="shared" si="7"/>
        <v>0</v>
      </c>
      <c r="G24" s="62"/>
    </row>
    <row r="25" spans="1:7" ht="16.5" x14ac:dyDescent="0.3">
      <c r="A25" s="64"/>
      <c r="B25" s="62"/>
      <c r="C25" s="77"/>
      <c r="D25" s="63">
        <f t="shared" si="6"/>
        <v>0</v>
      </c>
      <c r="E25" s="73">
        <f t="shared" si="2"/>
        <v>2500</v>
      </c>
      <c r="F25" s="73">
        <f t="shared" si="7"/>
        <v>0</v>
      </c>
      <c r="G25" s="62"/>
    </row>
    <row r="26" spans="1:7" ht="16.5" x14ac:dyDescent="0.3">
      <c r="A26" s="64"/>
      <c r="B26" s="62"/>
      <c r="C26" s="77"/>
      <c r="D26" s="63">
        <f t="shared" si="6"/>
        <v>0</v>
      </c>
      <c r="E26" s="73">
        <f t="shared" si="2"/>
        <v>2500</v>
      </c>
      <c r="F26" s="73">
        <f t="shared" si="7"/>
        <v>0</v>
      </c>
      <c r="G26" s="62"/>
    </row>
    <row r="27" spans="1:7" ht="16.5" x14ac:dyDescent="0.3">
      <c r="A27" s="64"/>
      <c r="B27" s="62"/>
      <c r="C27" s="77"/>
      <c r="D27" s="63">
        <f t="shared" si="6"/>
        <v>0</v>
      </c>
      <c r="E27" s="73">
        <f t="shared" si="2"/>
        <v>2500</v>
      </c>
      <c r="F27" s="73">
        <f t="shared" si="7"/>
        <v>0</v>
      </c>
      <c r="G27" s="62"/>
    </row>
    <row r="28" spans="1:7" ht="16.5" x14ac:dyDescent="0.3">
      <c r="C28" s="25" t="s">
        <v>328</v>
      </c>
      <c r="D28" s="31">
        <f>SUM(D4:D16)</f>
        <v>10.863130000000002</v>
      </c>
      <c r="E28" s="26" t="s">
        <v>329</v>
      </c>
      <c r="F28" s="57">
        <f>SUM(F4:F27)</f>
        <v>28367.084999999999</v>
      </c>
    </row>
  </sheetData>
  <mergeCells count="7">
    <mergeCell ref="F2:F3"/>
    <mergeCell ref="B1:C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921F-14A5-4D71-90B0-41856177618B}">
  <dimension ref="A1:G28"/>
  <sheetViews>
    <sheetView zoomScaleNormal="100" workbookViewId="0">
      <selection activeCell="L10" sqref="L10"/>
    </sheetView>
  </sheetViews>
  <sheetFormatPr baseColWidth="10" defaultRowHeight="15" x14ac:dyDescent="0.25"/>
  <cols>
    <col min="1" max="1" width="12.140625" customWidth="1"/>
  </cols>
  <sheetData>
    <row r="1" spans="1:7" ht="16.5" x14ac:dyDescent="0.3">
      <c r="A1" s="71" t="s">
        <v>254</v>
      </c>
      <c r="B1" s="100" t="s">
        <v>524</v>
      </c>
      <c r="C1" s="101"/>
      <c r="D1" s="65"/>
      <c r="E1" s="66" t="s">
        <v>354</v>
      </c>
      <c r="F1" s="65" t="s">
        <v>511</v>
      </c>
      <c r="G1" s="65"/>
    </row>
    <row r="2" spans="1:7" ht="16.5" x14ac:dyDescent="0.25">
      <c r="A2" s="105" t="s">
        <v>255</v>
      </c>
      <c r="B2" s="102" t="s">
        <v>399</v>
      </c>
      <c r="C2" s="106" t="s">
        <v>256</v>
      </c>
      <c r="D2" s="102" t="s">
        <v>257</v>
      </c>
      <c r="E2" s="104" t="s">
        <v>258</v>
      </c>
      <c r="F2" s="102" t="s">
        <v>259</v>
      </c>
      <c r="G2" s="58" t="s">
        <v>260</v>
      </c>
    </row>
    <row r="3" spans="1:7" ht="16.5" x14ac:dyDescent="0.25">
      <c r="A3" s="105"/>
      <c r="B3" s="102"/>
      <c r="C3" s="106"/>
      <c r="D3" s="102"/>
      <c r="E3" s="104"/>
      <c r="F3" s="102"/>
      <c r="G3" s="58" t="s">
        <v>261</v>
      </c>
    </row>
    <row r="4" spans="1:7" ht="16.5" x14ac:dyDescent="0.3">
      <c r="A4" s="64"/>
      <c r="B4" s="62">
        <v>31942</v>
      </c>
      <c r="C4" s="76">
        <v>0.9</v>
      </c>
      <c r="D4" s="63">
        <f t="shared" ref="D4" si="0">+C4/1000</f>
        <v>8.9999999999999998E-4</v>
      </c>
      <c r="E4" s="73">
        <f>IF(G4=1,4500,2500)</f>
        <v>2500</v>
      </c>
      <c r="F4" s="73">
        <f t="shared" ref="F4:F20" si="1">E4*D4</f>
        <v>2.25</v>
      </c>
      <c r="G4" s="62"/>
    </row>
    <row r="5" spans="1:7" ht="16.5" x14ac:dyDescent="0.3">
      <c r="A5" s="64"/>
      <c r="B5" s="62">
        <v>31944</v>
      </c>
      <c r="C5" s="77">
        <v>1245.2</v>
      </c>
      <c r="D5" s="63">
        <f>C5/1000</f>
        <v>1.2452000000000001</v>
      </c>
      <c r="E5" s="73">
        <f t="shared" ref="E5:E27" si="2">IF(G5=1,4500,2500)</f>
        <v>2500</v>
      </c>
      <c r="F5" s="73">
        <f t="shared" si="1"/>
        <v>3113</v>
      </c>
      <c r="G5" s="62"/>
    </row>
    <row r="6" spans="1:7" ht="16.5" x14ac:dyDescent="0.3">
      <c r="A6" s="64"/>
      <c r="B6" s="62" t="s">
        <v>528</v>
      </c>
      <c r="C6" s="77">
        <v>2536.9266666666676</v>
      </c>
      <c r="D6" s="63">
        <f t="shared" ref="D6" si="3">+C6/1000</f>
        <v>2.5369266666666674</v>
      </c>
      <c r="E6" s="73">
        <f t="shared" si="2"/>
        <v>2500</v>
      </c>
      <c r="F6" s="73">
        <f t="shared" si="1"/>
        <v>6342.3166666666684</v>
      </c>
      <c r="G6" s="62"/>
    </row>
    <row r="7" spans="1:7" ht="16.5" x14ac:dyDescent="0.3">
      <c r="A7" s="64"/>
      <c r="B7" s="62" t="s">
        <v>541</v>
      </c>
      <c r="C7" s="77">
        <v>5854</v>
      </c>
      <c r="D7" s="63">
        <f>C7/1000</f>
        <v>5.8540000000000001</v>
      </c>
      <c r="E7" s="73">
        <f t="shared" si="2"/>
        <v>2500</v>
      </c>
      <c r="F7" s="73">
        <f t="shared" si="1"/>
        <v>14635</v>
      </c>
      <c r="G7" s="62"/>
    </row>
    <row r="8" spans="1:7" ht="16.5" x14ac:dyDescent="0.3">
      <c r="A8" s="64"/>
      <c r="B8" s="62">
        <v>31928</v>
      </c>
      <c r="C8" s="77">
        <v>5391.9366666666683</v>
      </c>
      <c r="D8" s="63">
        <f t="shared" ref="D8" si="4">+C8/1000</f>
        <v>5.3919366666666679</v>
      </c>
      <c r="E8" s="73">
        <f t="shared" si="2"/>
        <v>2500</v>
      </c>
      <c r="F8" s="73">
        <f t="shared" si="1"/>
        <v>13479.841666666669</v>
      </c>
      <c r="G8" s="62"/>
    </row>
    <row r="9" spans="1:7" ht="16.5" x14ac:dyDescent="0.3">
      <c r="A9" s="64"/>
      <c r="B9" s="62" t="s">
        <v>547</v>
      </c>
      <c r="C9" s="77">
        <v>9366.5000000000018</v>
      </c>
      <c r="D9" s="63">
        <f>C9/1000</f>
        <v>9.366500000000002</v>
      </c>
      <c r="E9" s="73">
        <f t="shared" si="2"/>
        <v>2500</v>
      </c>
      <c r="F9" s="73">
        <f t="shared" si="1"/>
        <v>23416.250000000004</v>
      </c>
      <c r="G9" s="62"/>
    </row>
    <row r="10" spans="1:7" ht="16.5" x14ac:dyDescent="0.3">
      <c r="A10" s="64"/>
      <c r="B10" s="62" t="s">
        <v>548</v>
      </c>
      <c r="C10" s="77">
        <v>367.125</v>
      </c>
      <c r="D10" s="63">
        <f t="shared" ref="D10" si="5">+C10/1000</f>
        <v>0.36712499999999998</v>
      </c>
      <c r="E10" s="73">
        <f t="shared" si="2"/>
        <v>2500</v>
      </c>
      <c r="F10" s="73">
        <f t="shared" si="1"/>
        <v>917.8125</v>
      </c>
      <c r="G10" s="62"/>
    </row>
    <row r="11" spans="1:7" ht="16.5" x14ac:dyDescent="0.3">
      <c r="A11" s="64"/>
      <c r="B11" s="62" t="s">
        <v>551</v>
      </c>
      <c r="C11" s="77">
        <v>2630.7933333333349</v>
      </c>
      <c r="D11" s="63">
        <f>C11/1000</f>
        <v>2.6307933333333349</v>
      </c>
      <c r="E11" s="73">
        <f t="shared" si="2"/>
        <v>2500</v>
      </c>
      <c r="F11" s="73">
        <f t="shared" si="1"/>
        <v>6576.9833333333372</v>
      </c>
      <c r="G11" s="62"/>
    </row>
    <row r="12" spans="1:7" ht="16.5" x14ac:dyDescent="0.3">
      <c r="A12" s="64"/>
      <c r="B12" s="62" t="s">
        <v>552</v>
      </c>
      <c r="C12" s="77">
        <v>51.2</v>
      </c>
      <c r="D12" s="63">
        <f t="shared" ref="D12" si="6">+C12/1000</f>
        <v>5.1200000000000002E-2</v>
      </c>
      <c r="E12" s="73">
        <f t="shared" si="2"/>
        <v>2500</v>
      </c>
      <c r="F12" s="73">
        <f t="shared" si="1"/>
        <v>128</v>
      </c>
      <c r="G12" s="62"/>
    </row>
    <row r="13" spans="1:7" ht="16.5" x14ac:dyDescent="0.3">
      <c r="A13" s="64"/>
      <c r="B13" s="62" t="s">
        <v>553</v>
      </c>
      <c r="C13" s="77">
        <v>450</v>
      </c>
      <c r="D13" s="63">
        <f t="shared" ref="D13:D16" si="7">C13/1000</f>
        <v>0.45</v>
      </c>
      <c r="E13" s="73">
        <f t="shared" si="2"/>
        <v>2500</v>
      </c>
      <c r="F13" s="73">
        <f t="shared" si="1"/>
        <v>1125</v>
      </c>
      <c r="G13" s="62"/>
    </row>
    <row r="14" spans="1:7" ht="16.5" x14ac:dyDescent="0.3">
      <c r="A14" s="64"/>
      <c r="B14" s="62"/>
      <c r="C14" s="77"/>
      <c r="D14" s="63">
        <f t="shared" si="7"/>
        <v>0</v>
      </c>
      <c r="E14" s="73">
        <f t="shared" si="2"/>
        <v>2500</v>
      </c>
      <c r="F14" s="73">
        <f t="shared" si="1"/>
        <v>0</v>
      </c>
      <c r="G14" s="62"/>
    </row>
    <row r="15" spans="1:7" ht="16.5" x14ac:dyDescent="0.3">
      <c r="A15" s="64"/>
      <c r="B15" s="62"/>
      <c r="C15" s="77"/>
      <c r="D15" s="63">
        <f t="shared" si="7"/>
        <v>0</v>
      </c>
      <c r="E15" s="73">
        <f t="shared" si="2"/>
        <v>2500</v>
      </c>
      <c r="F15" s="73">
        <f t="shared" si="1"/>
        <v>0</v>
      </c>
      <c r="G15" s="62"/>
    </row>
    <row r="16" spans="1:7" ht="16.5" x14ac:dyDescent="0.3">
      <c r="A16" s="64"/>
      <c r="B16" s="62"/>
      <c r="C16" s="77"/>
      <c r="D16" s="63">
        <f t="shared" si="7"/>
        <v>0</v>
      </c>
      <c r="E16" s="73">
        <f t="shared" si="2"/>
        <v>2500</v>
      </c>
      <c r="F16" s="73">
        <f t="shared" si="1"/>
        <v>0</v>
      </c>
      <c r="G16" s="62"/>
    </row>
    <row r="17" spans="1:7" ht="16.5" x14ac:dyDescent="0.3">
      <c r="A17" s="64"/>
      <c r="B17" s="62"/>
      <c r="C17" s="77"/>
      <c r="D17" s="63">
        <f t="shared" ref="D17" si="8">+C17/1000</f>
        <v>0</v>
      </c>
      <c r="E17" s="73">
        <f t="shared" si="2"/>
        <v>2500</v>
      </c>
      <c r="F17" s="73">
        <f t="shared" si="1"/>
        <v>0</v>
      </c>
      <c r="G17" s="62"/>
    </row>
    <row r="18" spans="1:7" ht="16.5" x14ac:dyDescent="0.3">
      <c r="A18" s="64"/>
      <c r="B18" s="62"/>
      <c r="C18" s="77"/>
      <c r="D18" s="63">
        <f t="shared" ref="D18:D20" si="9">C18/1000</f>
        <v>0</v>
      </c>
      <c r="E18" s="73">
        <f t="shared" si="2"/>
        <v>2500</v>
      </c>
      <c r="F18" s="73">
        <f t="shared" si="1"/>
        <v>0</v>
      </c>
      <c r="G18" s="62"/>
    </row>
    <row r="19" spans="1:7" ht="16.5" x14ac:dyDescent="0.3">
      <c r="A19" s="64"/>
      <c r="B19" s="62"/>
      <c r="C19" s="77"/>
      <c r="D19" s="63">
        <f t="shared" si="9"/>
        <v>0</v>
      </c>
      <c r="E19" s="73">
        <f t="shared" si="2"/>
        <v>2500</v>
      </c>
      <c r="F19" s="73">
        <f t="shared" si="1"/>
        <v>0</v>
      </c>
      <c r="G19" s="62"/>
    </row>
    <row r="20" spans="1:7" ht="16.5" x14ac:dyDescent="0.3">
      <c r="A20" s="64"/>
      <c r="B20" s="62"/>
      <c r="C20" s="77"/>
      <c r="D20" s="63">
        <f t="shared" si="9"/>
        <v>0</v>
      </c>
      <c r="E20" s="73">
        <f t="shared" si="2"/>
        <v>2500</v>
      </c>
      <c r="F20" s="73">
        <f t="shared" si="1"/>
        <v>0</v>
      </c>
      <c r="G20" s="62"/>
    </row>
    <row r="21" spans="1:7" ht="16.5" x14ac:dyDescent="0.3">
      <c r="A21" s="64"/>
      <c r="B21" s="62"/>
      <c r="C21" s="77"/>
      <c r="D21" s="63">
        <f t="shared" ref="D21:D27" si="10">C21/1000</f>
        <v>0</v>
      </c>
      <c r="E21" s="73">
        <f t="shared" si="2"/>
        <v>2500</v>
      </c>
      <c r="F21" s="73">
        <f t="shared" ref="F21:F27" si="11">E21*D21</f>
        <v>0</v>
      </c>
      <c r="G21" s="62"/>
    </row>
    <row r="22" spans="1:7" ht="16.5" x14ac:dyDescent="0.3">
      <c r="A22" s="64"/>
      <c r="B22" s="62"/>
      <c r="C22" s="77"/>
      <c r="D22" s="63">
        <f t="shared" si="10"/>
        <v>0</v>
      </c>
      <c r="E22" s="73">
        <f t="shared" si="2"/>
        <v>2500</v>
      </c>
      <c r="F22" s="73">
        <f t="shared" si="11"/>
        <v>0</v>
      </c>
      <c r="G22" s="62"/>
    </row>
    <row r="23" spans="1:7" ht="16.5" x14ac:dyDescent="0.3">
      <c r="A23" s="64"/>
      <c r="B23" s="62"/>
      <c r="C23" s="77"/>
      <c r="D23" s="63">
        <f t="shared" si="10"/>
        <v>0</v>
      </c>
      <c r="E23" s="73">
        <f t="shared" si="2"/>
        <v>2500</v>
      </c>
      <c r="F23" s="73">
        <f t="shared" si="11"/>
        <v>0</v>
      </c>
      <c r="G23" s="62"/>
    </row>
    <row r="24" spans="1:7" ht="16.5" x14ac:dyDescent="0.3">
      <c r="A24" s="64"/>
      <c r="B24" s="62"/>
      <c r="C24" s="77"/>
      <c r="D24" s="63">
        <f t="shared" si="10"/>
        <v>0</v>
      </c>
      <c r="E24" s="73">
        <f t="shared" si="2"/>
        <v>2500</v>
      </c>
      <c r="F24" s="73">
        <f t="shared" si="11"/>
        <v>0</v>
      </c>
      <c r="G24" s="62"/>
    </row>
    <row r="25" spans="1:7" ht="16.5" x14ac:dyDescent="0.3">
      <c r="A25" s="64"/>
      <c r="B25" s="62"/>
      <c r="C25" s="77"/>
      <c r="D25" s="63">
        <f t="shared" si="10"/>
        <v>0</v>
      </c>
      <c r="E25" s="73">
        <f t="shared" si="2"/>
        <v>2500</v>
      </c>
      <c r="F25" s="73">
        <f t="shared" si="11"/>
        <v>0</v>
      </c>
      <c r="G25" s="62"/>
    </row>
    <row r="26" spans="1:7" ht="16.5" x14ac:dyDescent="0.3">
      <c r="A26" s="64"/>
      <c r="B26" s="62"/>
      <c r="C26" s="77"/>
      <c r="D26" s="63">
        <f t="shared" si="10"/>
        <v>0</v>
      </c>
      <c r="E26" s="73">
        <f t="shared" si="2"/>
        <v>2500</v>
      </c>
      <c r="F26" s="73">
        <f t="shared" si="11"/>
        <v>0</v>
      </c>
      <c r="G26" s="62"/>
    </row>
    <row r="27" spans="1:7" ht="16.5" x14ac:dyDescent="0.3">
      <c r="A27" s="64"/>
      <c r="B27" s="62"/>
      <c r="C27" s="77"/>
      <c r="D27" s="63">
        <f t="shared" si="10"/>
        <v>0</v>
      </c>
      <c r="E27" s="73">
        <f t="shared" si="2"/>
        <v>2500</v>
      </c>
      <c r="F27" s="73">
        <f t="shared" si="11"/>
        <v>0</v>
      </c>
      <c r="G27" s="62"/>
    </row>
    <row r="28" spans="1:7" ht="16.5" x14ac:dyDescent="0.3">
      <c r="C28" s="25" t="s">
        <v>328</v>
      </c>
      <c r="D28" s="31">
        <f>SUM(D4:D16)</f>
        <v>27.894581666666678</v>
      </c>
      <c r="E28" s="26" t="s">
        <v>329</v>
      </c>
      <c r="F28" s="57">
        <f>SUM(F4:F27)</f>
        <v>69736.454166666677</v>
      </c>
    </row>
  </sheetData>
  <mergeCells count="7">
    <mergeCell ref="F2:F3"/>
    <mergeCell ref="B1:C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0"/>
  <sheetViews>
    <sheetView topLeftCell="A418" zoomScaleNormal="100" workbookViewId="0">
      <selection activeCell="J134" sqref="J134"/>
    </sheetView>
  </sheetViews>
  <sheetFormatPr baseColWidth="10" defaultColWidth="11.42578125" defaultRowHeight="15.75" x14ac:dyDescent="0.25"/>
  <cols>
    <col min="1" max="1" width="38.28515625" style="34" customWidth="1"/>
    <col min="2" max="2" width="13.85546875" style="54" customWidth="1"/>
    <col min="3" max="3" width="8.85546875" style="52" customWidth="1"/>
    <col min="4" max="4" width="13" style="34" customWidth="1"/>
    <col min="5" max="16384" width="11.42578125" style="34"/>
  </cols>
  <sheetData>
    <row r="1" spans="1:4" ht="38.25" customHeight="1" x14ac:dyDescent="0.25">
      <c r="A1" s="107" t="s">
        <v>262</v>
      </c>
      <c r="B1" s="108"/>
      <c r="C1" s="107"/>
      <c r="D1" s="107"/>
    </row>
    <row r="2" spans="1:4" ht="31.5" x14ac:dyDescent="0.25">
      <c r="A2" s="35" t="s">
        <v>184</v>
      </c>
      <c r="B2" s="35" t="s">
        <v>463</v>
      </c>
      <c r="C2" s="36" t="s">
        <v>248</v>
      </c>
      <c r="D2" s="35" t="s">
        <v>185</v>
      </c>
    </row>
    <row r="3" spans="1:4" ht="16.5" customHeight="1" x14ac:dyDescent="0.25">
      <c r="A3" s="37" t="s">
        <v>230</v>
      </c>
      <c r="B3" s="38"/>
      <c r="C3" s="39">
        <v>2</v>
      </c>
      <c r="D3" s="40">
        <f t="shared" ref="D3:D34" si="0">B3*C3</f>
        <v>0</v>
      </c>
    </row>
    <row r="4" spans="1:4" ht="16.5" customHeight="1" x14ac:dyDescent="0.25">
      <c r="A4" s="37" t="s">
        <v>229</v>
      </c>
      <c r="B4" s="38"/>
      <c r="C4" s="39">
        <v>2</v>
      </c>
      <c r="D4" s="40">
        <f t="shared" si="0"/>
        <v>0</v>
      </c>
    </row>
    <row r="5" spans="1:4" ht="16.5" customHeight="1" x14ac:dyDescent="0.25">
      <c r="A5" s="46" t="s">
        <v>299</v>
      </c>
      <c r="B5" s="50"/>
      <c r="C5" s="39">
        <v>5.0025000000000004</v>
      </c>
      <c r="D5" s="40">
        <f t="shared" si="0"/>
        <v>0</v>
      </c>
    </row>
    <row r="6" spans="1:4" ht="16.5" customHeight="1" x14ac:dyDescent="0.25">
      <c r="A6" s="46" t="s">
        <v>300</v>
      </c>
      <c r="B6" s="50"/>
      <c r="C6" s="39">
        <v>5.3360000000000003</v>
      </c>
      <c r="D6" s="40">
        <f t="shared" si="0"/>
        <v>0</v>
      </c>
    </row>
    <row r="7" spans="1:4" ht="16.5" customHeight="1" x14ac:dyDescent="0.25">
      <c r="A7" s="46" t="s">
        <v>301</v>
      </c>
      <c r="B7" s="50"/>
      <c r="C7" s="39">
        <v>6.0030000000000001</v>
      </c>
      <c r="D7" s="40">
        <f t="shared" si="0"/>
        <v>0</v>
      </c>
    </row>
    <row r="8" spans="1:4" ht="16.5" customHeight="1" x14ac:dyDescent="0.25">
      <c r="A8" s="46" t="s">
        <v>302</v>
      </c>
      <c r="B8" s="38"/>
      <c r="C8" s="39">
        <v>7.3369999999999997</v>
      </c>
      <c r="D8" s="40">
        <f t="shared" si="0"/>
        <v>0</v>
      </c>
    </row>
    <row r="9" spans="1:4" ht="16.5" customHeight="1" x14ac:dyDescent="0.25">
      <c r="A9" s="46" t="s">
        <v>303</v>
      </c>
      <c r="B9" s="38"/>
      <c r="C9" s="39">
        <v>8.0039999999999996</v>
      </c>
      <c r="D9" s="40">
        <f t="shared" si="0"/>
        <v>0</v>
      </c>
    </row>
    <row r="10" spans="1:4" ht="16.5" customHeight="1" x14ac:dyDescent="0.25">
      <c r="A10" s="46" t="s">
        <v>440</v>
      </c>
      <c r="B10" s="38"/>
      <c r="C10" s="39">
        <v>8.3375000000000004</v>
      </c>
      <c r="D10" s="40">
        <f t="shared" si="0"/>
        <v>0</v>
      </c>
    </row>
    <row r="11" spans="1:4" ht="16.5" customHeight="1" x14ac:dyDescent="0.25">
      <c r="A11" s="46" t="s">
        <v>304</v>
      </c>
      <c r="B11" s="38"/>
      <c r="C11" s="39">
        <v>8.6709999999999994</v>
      </c>
      <c r="D11" s="40">
        <f t="shared" si="0"/>
        <v>0</v>
      </c>
    </row>
    <row r="12" spans="1:4" ht="16.5" customHeight="1" x14ac:dyDescent="0.25">
      <c r="A12" s="46" t="s">
        <v>439</v>
      </c>
      <c r="B12" s="38"/>
      <c r="C12" s="39">
        <v>9.0045000000000002</v>
      </c>
      <c r="D12" s="40">
        <f t="shared" si="0"/>
        <v>0</v>
      </c>
    </row>
    <row r="13" spans="1:4" ht="16.5" customHeight="1" x14ac:dyDescent="0.25">
      <c r="A13" s="46" t="s">
        <v>437</v>
      </c>
      <c r="B13" s="38"/>
      <c r="C13" s="39">
        <v>9.8048999999999999</v>
      </c>
      <c r="D13" s="40">
        <f t="shared" si="0"/>
        <v>0</v>
      </c>
    </row>
    <row r="14" spans="1:4" ht="16.5" customHeight="1" x14ac:dyDescent="0.25">
      <c r="A14" s="46" t="s">
        <v>438</v>
      </c>
      <c r="B14" s="38"/>
      <c r="C14" s="39">
        <v>9.3379999999999992</v>
      </c>
      <c r="D14" s="40">
        <f t="shared" si="0"/>
        <v>0</v>
      </c>
    </row>
    <row r="15" spans="1:4" ht="16.5" customHeight="1" x14ac:dyDescent="0.25">
      <c r="A15" s="46" t="s">
        <v>305</v>
      </c>
      <c r="B15" s="38"/>
      <c r="C15" s="39">
        <v>10.005000000000001</v>
      </c>
      <c r="D15" s="40">
        <f t="shared" si="0"/>
        <v>0</v>
      </c>
    </row>
    <row r="16" spans="1:4" ht="16.5" customHeight="1" x14ac:dyDescent="0.25">
      <c r="A16" s="46" t="s">
        <v>436</v>
      </c>
      <c r="B16" s="38"/>
      <c r="C16" s="39">
        <v>10.677300000000001</v>
      </c>
      <c r="D16" s="40">
        <f t="shared" si="0"/>
        <v>0</v>
      </c>
    </row>
    <row r="17" spans="1:7" ht="16.5" customHeight="1" x14ac:dyDescent="0.25">
      <c r="A17" s="46" t="s">
        <v>435</v>
      </c>
      <c r="B17" s="38"/>
      <c r="C17" s="39">
        <v>11.010999999999999</v>
      </c>
      <c r="D17" s="40">
        <f t="shared" si="0"/>
        <v>0</v>
      </c>
    </row>
    <row r="18" spans="1:7" ht="16.5" customHeight="1" x14ac:dyDescent="0.25">
      <c r="A18" s="46" t="s">
        <v>434</v>
      </c>
      <c r="B18" s="38"/>
      <c r="C18" s="39">
        <v>11.3447</v>
      </c>
      <c r="D18" s="40">
        <f t="shared" si="0"/>
        <v>0</v>
      </c>
    </row>
    <row r="19" spans="1:7" ht="16.5" customHeight="1" x14ac:dyDescent="0.25">
      <c r="A19" s="46" t="s">
        <v>419</v>
      </c>
      <c r="B19" s="38"/>
      <c r="C19" s="39">
        <v>12.012</v>
      </c>
      <c r="D19" s="40">
        <f t="shared" si="0"/>
        <v>0</v>
      </c>
    </row>
    <row r="20" spans="1:7" ht="16.5" customHeight="1" x14ac:dyDescent="0.25">
      <c r="A20" s="46" t="s">
        <v>192</v>
      </c>
      <c r="B20" s="38"/>
      <c r="C20" s="39">
        <v>8</v>
      </c>
      <c r="D20" s="40">
        <f t="shared" si="0"/>
        <v>0</v>
      </c>
    </row>
    <row r="21" spans="1:7" ht="16.5" customHeight="1" x14ac:dyDescent="0.25">
      <c r="A21" s="46" t="s">
        <v>381</v>
      </c>
      <c r="B21" s="38"/>
      <c r="C21" s="39">
        <v>14.6685</v>
      </c>
      <c r="D21" s="40">
        <f t="shared" si="0"/>
        <v>0</v>
      </c>
    </row>
    <row r="22" spans="1:7" ht="16.5" customHeight="1" x14ac:dyDescent="0.25">
      <c r="A22" s="46" t="s">
        <v>379</v>
      </c>
      <c r="B22" s="38"/>
      <c r="C22" s="39">
        <v>15.33525</v>
      </c>
      <c r="D22" s="40">
        <f t="shared" si="0"/>
        <v>0</v>
      </c>
    </row>
    <row r="23" spans="1:7" ht="16.5" customHeight="1" x14ac:dyDescent="0.25">
      <c r="A23" s="46" t="s">
        <v>386</v>
      </c>
      <c r="C23" s="39">
        <v>16.329999999999998</v>
      </c>
      <c r="D23" s="40"/>
    </row>
    <row r="24" spans="1:7" ht="16.5" customHeight="1" x14ac:dyDescent="0.25">
      <c r="A24" s="46" t="s">
        <v>347</v>
      </c>
      <c r="B24" s="38"/>
      <c r="C24" s="39">
        <v>16</v>
      </c>
      <c r="D24" s="40">
        <f t="shared" si="0"/>
        <v>0</v>
      </c>
    </row>
    <row r="25" spans="1:7" ht="16.5" customHeight="1" x14ac:dyDescent="0.25">
      <c r="A25" s="46" t="s">
        <v>346</v>
      </c>
      <c r="B25" s="38"/>
      <c r="C25" s="39">
        <v>16.666</v>
      </c>
      <c r="D25" s="40">
        <f t="shared" si="0"/>
        <v>0</v>
      </c>
    </row>
    <row r="26" spans="1:7" ht="16.5" customHeight="1" x14ac:dyDescent="0.25">
      <c r="A26" s="46" t="s">
        <v>418</v>
      </c>
      <c r="B26" s="38"/>
      <c r="C26" s="39">
        <v>17.34</v>
      </c>
      <c r="D26" s="40">
        <f t="shared" si="0"/>
        <v>0</v>
      </c>
    </row>
    <row r="27" spans="1:7" ht="16.5" customHeight="1" x14ac:dyDescent="0.25">
      <c r="A27" s="46" t="s">
        <v>483</v>
      </c>
      <c r="B27" s="38"/>
      <c r="C27" s="39">
        <v>18</v>
      </c>
      <c r="D27" s="40">
        <f t="shared" si="0"/>
        <v>0</v>
      </c>
    </row>
    <row r="28" spans="1:7" ht="16.5" customHeight="1" x14ac:dyDescent="0.25">
      <c r="A28" s="46" t="s">
        <v>433</v>
      </c>
      <c r="B28" s="38"/>
      <c r="C28" s="39">
        <v>18.6739</v>
      </c>
      <c r="D28" s="40">
        <f t="shared" si="0"/>
        <v>0</v>
      </c>
    </row>
    <row r="29" spans="1:7" ht="16.5" customHeight="1" x14ac:dyDescent="0.25">
      <c r="A29" s="46" t="s">
        <v>432</v>
      </c>
      <c r="B29" s="38"/>
      <c r="C29" s="39">
        <v>19.340800000000002</v>
      </c>
      <c r="D29" s="40">
        <f t="shared" si="0"/>
        <v>0</v>
      </c>
    </row>
    <row r="30" spans="1:7" ht="16.5" customHeight="1" x14ac:dyDescent="0.25">
      <c r="A30" s="46" t="s">
        <v>191</v>
      </c>
      <c r="B30" s="38"/>
      <c r="C30" s="39">
        <v>13.333333333333334</v>
      </c>
      <c r="D30" s="40">
        <f t="shared" si="0"/>
        <v>0</v>
      </c>
    </row>
    <row r="31" spans="1:7" ht="16.5" customHeight="1" x14ac:dyDescent="0.25">
      <c r="A31" s="46" t="s">
        <v>431</v>
      </c>
      <c r="B31" s="38"/>
      <c r="C31" s="39">
        <v>22.001999999999999</v>
      </c>
      <c r="D31" s="40">
        <f t="shared" si="0"/>
        <v>0</v>
      </c>
    </row>
    <row r="32" spans="1:7" ht="16.5" customHeight="1" x14ac:dyDescent="0.25">
      <c r="A32" s="46" t="s">
        <v>422</v>
      </c>
      <c r="B32" s="38"/>
      <c r="C32" s="39">
        <v>23.3355</v>
      </c>
      <c r="D32" s="40">
        <f t="shared" si="0"/>
        <v>0</v>
      </c>
      <c r="G32" s="41"/>
    </row>
    <row r="33" spans="1:7" ht="16.5" customHeight="1" x14ac:dyDescent="0.25">
      <c r="A33" s="46" t="s">
        <v>430</v>
      </c>
      <c r="B33" s="38"/>
      <c r="C33" s="39">
        <v>25.002400000000002</v>
      </c>
      <c r="D33" s="40">
        <f t="shared" si="0"/>
        <v>0</v>
      </c>
      <c r="G33" s="41"/>
    </row>
    <row r="34" spans="1:7" ht="17.25" customHeight="1" x14ac:dyDescent="0.25">
      <c r="A34" s="46" t="s">
        <v>380</v>
      </c>
      <c r="B34" s="38"/>
      <c r="C34" s="39">
        <v>24.669</v>
      </c>
      <c r="D34" s="40">
        <f t="shared" si="0"/>
        <v>0</v>
      </c>
    </row>
    <row r="35" spans="1:7" ht="16.5" customHeight="1" x14ac:dyDescent="0.25">
      <c r="A35" s="46" t="s">
        <v>190</v>
      </c>
      <c r="B35" s="38"/>
      <c r="C35" s="39">
        <v>20</v>
      </c>
      <c r="D35" s="40">
        <f t="shared" ref="D35:D66" si="1">B35*C35</f>
        <v>0</v>
      </c>
    </row>
    <row r="36" spans="1:7" ht="16.5" customHeight="1" x14ac:dyDescent="0.25">
      <c r="A36" s="46" t="s">
        <v>429</v>
      </c>
      <c r="B36" s="38"/>
      <c r="C36" s="39">
        <v>27.333200000000001</v>
      </c>
      <c r="D36" s="40">
        <f t="shared" si="1"/>
        <v>0</v>
      </c>
    </row>
    <row r="37" spans="1:7" ht="16.5" customHeight="1" x14ac:dyDescent="0.25">
      <c r="A37" s="46" t="s">
        <v>428</v>
      </c>
      <c r="B37" s="38"/>
      <c r="C37" s="39">
        <v>27.9999</v>
      </c>
      <c r="D37" s="40">
        <f t="shared" si="1"/>
        <v>0</v>
      </c>
    </row>
    <row r="38" spans="1:7" ht="16.5" customHeight="1" x14ac:dyDescent="0.25">
      <c r="A38" s="46" t="s">
        <v>427</v>
      </c>
      <c r="B38" s="38"/>
      <c r="C38" s="39">
        <v>28.9999</v>
      </c>
      <c r="D38" s="40">
        <f t="shared" si="1"/>
        <v>0</v>
      </c>
    </row>
    <row r="39" spans="1:7" ht="16.5" customHeight="1" x14ac:dyDescent="0.25">
      <c r="A39" s="46" t="s">
        <v>426</v>
      </c>
      <c r="B39" s="38"/>
      <c r="C39" s="39">
        <v>29.333300000000001</v>
      </c>
      <c r="D39" s="40">
        <f t="shared" si="1"/>
        <v>0</v>
      </c>
    </row>
    <row r="40" spans="1:7" ht="16.5" customHeight="1" x14ac:dyDescent="0.25">
      <c r="A40" s="46" t="s">
        <v>339</v>
      </c>
      <c r="B40" s="38"/>
      <c r="C40" s="39">
        <v>30</v>
      </c>
      <c r="D40" s="40">
        <f t="shared" si="1"/>
        <v>0</v>
      </c>
    </row>
    <row r="41" spans="1:7" ht="16.5" customHeight="1" x14ac:dyDescent="0.25">
      <c r="A41" s="46" t="s">
        <v>425</v>
      </c>
      <c r="B41" s="38"/>
      <c r="C41" s="39">
        <v>31.333300000000001</v>
      </c>
      <c r="D41" s="40">
        <f t="shared" si="1"/>
        <v>0</v>
      </c>
    </row>
    <row r="42" spans="1:7" ht="16.5" customHeight="1" x14ac:dyDescent="0.25">
      <c r="A42" s="46" t="s">
        <v>481</v>
      </c>
      <c r="B42" s="38"/>
      <c r="C42" s="39">
        <v>31.99</v>
      </c>
      <c r="D42" s="40">
        <f t="shared" si="1"/>
        <v>0</v>
      </c>
    </row>
    <row r="43" spans="1:7" ht="16.5" customHeight="1" x14ac:dyDescent="0.25">
      <c r="A43" s="46" t="s">
        <v>189</v>
      </c>
      <c r="B43" s="38"/>
      <c r="C43" s="39">
        <v>26.666666666666668</v>
      </c>
      <c r="D43" s="40">
        <f t="shared" si="1"/>
        <v>0</v>
      </c>
    </row>
    <row r="44" spans="1:7" ht="16.5" customHeight="1" x14ac:dyDescent="0.25">
      <c r="A44" s="46" t="s">
        <v>340</v>
      </c>
      <c r="B44" s="38"/>
      <c r="C44" s="39">
        <v>36.659999999999997</v>
      </c>
      <c r="D44" s="40">
        <f t="shared" si="1"/>
        <v>0</v>
      </c>
    </row>
    <row r="45" spans="1:7" ht="16.5" customHeight="1" x14ac:dyDescent="0.25">
      <c r="A45" s="46" t="s">
        <v>424</v>
      </c>
      <c r="B45" s="38"/>
      <c r="C45" s="39">
        <v>37.326500000000003</v>
      </c>
      <c r="D45" s="40">
        <f t="shared" si="1"/>
        <v>0</v>
      </c>
    </row>
    <row r="46" spans="1:7" ht="16.5" customHeight="1" x14ac:dyDescent="0.25">
      <c r="A46" s="46" t="s">
        <v>423</v>
      </c>
      <c r="B46" s="38"/>
      <c r="C46" s="39">
        <v>37.993099999999998</v>
      </c>
      <c r="D46" s="40">
        <f t="shared" si="1"/>
        <v>0</v>
      </c>
    </row>
    <row r="47" spans="1:7" ht="16.5" customHeight="1" x14ac:dyDescent="0.25">
      <c r="A47" s="46" t="s">
        <v>188</v>
      </c>
      <c r="B47" s="38"/>
      <c r="C47" s="39">
        <v>33.333333333333336</v>
      </c>
      <c r="D47" s="40">
        <f t="shared" si="1"/>
        <v>0</v>
      </c>
    </row>
    <row r="48" spans="1:7" ht="16.5" customHeight="1" x14ac:dyDescent="0.25">
      <c r="A48" s="46" t="s">
        <v>187</v>
      </c>
      <c r="B48" s="38"/>
      <c r="C48" s="39">
        <v>40</v>
      </c>
      <c r="D48" s="40">
        <f t="shared" si="1"/>
        <v>0</v>
      </c>
    </row>
    <row r="49" spans="1:4" ht="16.5" customHeight="1" x14ac:dyDescent="0.25">
      <c r="A49" s="46" t="s">
        <v>411</v>
      </c>
      <c r="B49" s="38"/>
      <c r="C49" s="39">
        <v>5.57</v>
      </c>
      <c r="D49" s="40">
        <f t="shared" si="1"/>
        <v>0</v>
      </c>
    </row>
    <row r="50" spans="1:4" ht="16.5" customHeight="1" x14ac:dyDescent="0.25">
      <c r="A50" s="42" t="s">
        <v>240</v>
      </c>
      <c r="B50" s="38"/>
      <c r="C50" s="43">
        <v>17.5</v>
      </c>
      <c r="D50" s="40">
        <f t="shared" si="1"/>
        <v>0</v>
      </c>
    </row>
    <row r="51" spans="1:4" ht="16.5" customHeight="1" x14ac:dyDescent="0.25">
      <c r="A51" s="46" t="s">
        <v>409</v>
      </c>
      <c r="B51" s="38"/>
      <c r="C51" s="39">
        <v>1.7000000000000001E-2</v>
      </c>
      <c r="D51" s="40">
        <f t="shared" si="1"/>
        <v>0</v>
      </c>
    </row>
    <row r="52" spans="1:4" ht="16.5" customHeight="1" x14ac:dyDescent="0.25">
      <c r="A52" s="46" t="s">
        <v>410</v>
      </c>
      <c r="B52" s="38"/>
      <c r="C52" s="39">
        <v>2.1000000000000001E-2</v>
      </c>
      <c r="D52" s="40">
        <f t="shared" ref="D52" si="2">B52*C52</f>
        <v>0</v>
      </c>
    </row>
    <row r="53" spans="1:4" ht="16.5" customHeight="1" x14ac:dyDescent="0.25">
      <c r="A53" s="46" t="s">
        <v>210</v>
      </c>
      <c r="B53" s="38"/>
      <c r="C53" s="39">
        <v>0.03</v>
      </c>
      <c r="D53" s="40">
        <f t="shared" si="1"/>
        <v>0</v>
      </c>
    </row>
    <row r="54" spans="1:4" ht="16.5" customHeight="1" x14ac:dyDescent="0.25">
      <c r="A54" s="46" t="s">
        <v>454</v>
      </c>
      <c r="B54" s="38"/>
      <c r="C54" s="39">
        <v>3.3300000000000003E-2</v>
      </c>
      <c r="D54" s="40">
        <f t="shared" si="1"/>
        <v>0</v>
      </c>
    </row>
    <row r="55" spans="1:4" ht="16.5" customHeight="1" x14ac:dyDescent="0.25">
      <c r="A55" s="46" t="s">
        <v>453</v>
      </c>
      <c r="B55" s="38"/>
      <c r="C55" s="39">
        <v>3.7499999999999999E-2</v>
      </c>
      <c r="D55" s="40">
        <f t="shared" si="1"/>
        <v>0</v>
      </c>
    </row>
    <row r="56" spans="1:4" ht="16.5" customHeight="1" x14ac:dyDescent="0.25">
      <c r="A56" s="46" t="s">
        <v>455</v>
      </c>
      <c r="B56" s="38"/>
      <c r="C56" s="39">
        <v>4.58E-2</v>
      </c>
      <c r="D56" s="40">
        <f t="shared" si="1"/>
        <v>0</v>
      </c>
    </row>
    <row r="57" spans="1:4" ht="16.5" customHeight="1" x14ac:dyDescent="0.25">
      <c r="A57" s="46" t="s">
        <v>209</v>
      </c>
      <c r="B57" s="38"/>
      <c r="C57" s="39">
        <v>0.05</v>
      </c>
      <c r="D57" s="40">
        <f t="shared" si="1"/>
        <v>0</v>
      </c>
    </row>
    <row r="58" spans="1:4" ht="16.5" customHeight="1" x14ac:dyDescent="0.25">
      <c r="A58" s="46" t="s">
        <v>456</v>
      </c>
      <c r="B58" s="38"/>
      <c r="C58" s="39">
        <v>4.1599999999999998E-2</v>
      </c>
      <c r="D58" s="40">
        <f t="shared" si="1"/>
        <v>0</v>
      </c>
    </row>
    <row r="59" spans="1:4" ht="16.5" customHeight="1" x14ac:dyDescent="0.25">
      <c r="A59" s="46" t="s">
        <v>452</v>
      </c>
      <c r="B59" s="38"/>
      <c r="C59" s="39">
        <v>8.7400000000000005E-2</v>
      </c>
      <c r="D59" s="40">
        <f t="shared" si="1"/>
        <v>0</v>
      </c>
    </row>
    <row r="60" spans="1:4" ht="16.5" customHeight="1" x14ac:dyDescent="0.25">
      <c r="A60" s="46" t="s">
        <v>451</v>
      </c>
      <c r="B60" s="38"/>
      <c r="C60" s="39">
        <v>9.1600000000000001E-2</v>
      </c>
      <c r="D60" s="40">
        <f t="shared" si="1"/>
        <v>0</v>
      </c>
    </row>
    <row r="61" spans="1:4" ht="16.5" customHeight="1" x14ac:dyDescent="0.25">
      <c r="A61" s="46" t="s">
        <v>208</v>
      </c>
      <c r="B61" s="38"/>
      <c r="C61" s="39">
        <v>0.1</v>
      </c>
      <c r="D61" s="40">
        <f t="shared" si="1"/>
        <v>0</v>
      </c>
    </row>
    <row r="62" spans="1:4" ht="16.5" customHeight="1" x14ac:dyDescent="0.25">
      <c r="A62" s="46" t="s">
        <v>450</v>
      </c>
      <c r="B62" s="38"/>
      <c r="C62" s="39">
        <v>8.3299999999999999E-2</v>
      </c>
      <c r="D62" s="40">
        <f t="shared" si="1"/>
        <v>0</v>
      </c>
    </row>
    <row r="63" spans="1:4" ht="16.5" customHeight="1" x14ac:dyDescent="0.25">
      <c r="A63" s="42" t="s">
        <v>363</v>
      </c>
      <c r="B63" s="38"/>
      <c r="C63" s="43">
        <v>18</v>
      </c>
      <c r="D63" s="40">
        <f t="shared" si="1"/>
        <v>0</v>
      </c>
    </row>
    <row r="64" spans="1:4" ht="16.5" customHeight="1" x14ac:dyDescent="0.25">
      <c r="A64" s="37" t="s">
        <v>406</v>
      </c>
      <c r="B64" s="38"/>
      <c r="C64" s="39">
        <v>11.43</v>
      </c>
      <c r="D64" s="40">
        <f t="shared" si="1"/>
        <v>0</v>
      </c>
    </row>
    <row r="65" spans="1:4" ht="16.5" customHeight="1" x14ac:dyDescent="0.25">
      <c r="A65" s="37" t="s">
        <v>468</v>
      </c>
      <c r="B65" s="38"/>
      <c r="C65" s="39">
        <v>8.16</v>
      </c>
      <c r="D65" s="40">
        <f t="shared" si="1"/>
        <v>0</v>
      </c>
    </row>
    <row r="66" spans="1:4" ht="16.5" customHeight="1" x14ac:dyDescent="0.25">
      <c r="A66" s="37" t="s">
        <v>466</v>
      </c>
      <c r="B66" s="38"/>
      <c r="C66" s="39">
        <v>20.41</v>
      </c>
      <c r="D66" s="40">
        <f t="shared" si="1"/>
        <v>0</v>
      </c>
    </row>
    <row r="67" spans="1:4" ht="16.5" customHeight="1" x14ac:dyDescent="0.25">
      <c r="A67" s="37" t="s">
        <v>227</v>
      </c>
      <c r="B67" s="38"/>
      <c r="C67" s="39">
        <v>16.329999999999998</v>
      </c>
      <c r="D67" s="40">
        <f t="shared" ref="D67:D82" si="3">B67*C67</f>
        <v>0</v>
      </c>
    </row>
    <row r="68" spans="1:4" ht="16.5" customHeight="1" x14ac:dyDescent="0.25">
      <c r="A68" s="37" t="s">
        <v>226</v>
      </c>
      <c r="B68" s="38"/>
      <c r="C68" s="39">
        <v>24.5</v>
      </c>
      <c r="D68" s="40">
        <f t="shared" si="3"/>
        <v>0</v>
      </c>
    </row>
    <row r="69" spans="1:4" ht="16.5" customHeight="1" x14ac:dyDescent="0.25">
      <c r="A69" s="37" t="s">
        <v>342</v>
      </c>
      <c r="B69" s="38"/>
      <c r="C69" s="39">
        <v>15.5</v>
      </c>
      <c r="D69" s="40">
        <f t="shared" si="3"/>
        <v>0</v>
      </c>
    </row>
    <row r="70" spans="1:4" ht="16.5" customHeight="1" x14ac:dyDescent="0.25">
      <c r="A70" s="42" t="s">
        <v>293</v>
      </c>
      <c r="B70" s="38"/>
      <c r="C70" s="43">
        <v>9.5</v>
      </c>
      <c r="D70" s="40">
        <f t="shared" si="3"/>
        <v>0</v>
      </c>
    </row>
    <row r="71" spans="1:4" ht="16.5" customHeight="1" x14ac:dyDescent="0.25">
      <c r="A71" s="37" t="s">
        <v>223</v>
      </c>
      <c r="B71" s="38"/>
      <c r="C71" s="39">
        <v>1.8</v>
      </c>
      <c r="D71" s="40">
        <f>B71*C71</f>
        <v>0</v>
      </c>
    </row>
    <row r="72" spans="1:4" ht="16.5" customHeight="1" x14ac:dyDescent="0.25">
      <c r="A72" s="49" t="s">
        <v>332</v>
      </c>
      <c r="B72" s="38"/>
      <c r="C72" s="39">
        <v>20</v>
      </c>
      <c r="D72" s="40">
        <f t="shared" si="3"/>
        <v>0</v>
      </c>
    </row>
    <row r="73" spans="1:4" ht="16.5" customHeight="1" x14ac:dyDescent="0.25">
      <c r="A73" s="49" t="s">
        <v>331</v>
      </c>
      <c r="B73" s="38"/>
      <c r="C73" s="39">
        <v>15</v>
      </c>
      <c r="D73" s="40">
        <f t="shared" si="3"/>
        <v>0</v>
      </c>
    </row>
    <row r="74" spans="1:4" ht="16.5" customHeight="1" x14ac:dyDescent="0.25">
      <c r="A74" s="46" t="s">
        <v>52</v>
      </c>
      <c r="B74" s="38"/>
      <c r="C74" s="39">
        <v>12</v>
      </c>
      <c r="D74" s="40">
        <f t="shared" si="3"/>
        <v>0</v>
      </c>
    </row>
    <row r="75" spans="1:4" ht="16.5" customHeight="1" x14ac:dyDescent="0.25">
      <c r="A75" s="42" t="s">
        <v>295</v>
      </c>
      <c r="B75" s="38"/>
      <c r="C75" s="43">
        <v>11.42</v>
      </c>
      <c r="D75" s="40">
        <f t="shared" si="3"/>
        <v>0</v>
      </c>
    </row>
    <row r="76" spans="1:4" ht="16.5" customHeight="1" x14ac:dyDescent="0.25">
      <c r="A76" s="42" t="s">
        <v>297</v>
      </c>
      <c r="B76" s="38"/>
      <c r="C76" s="43">
        <v>14.29</v>
      </c>
      <c r="D76" s="40">
        <f t="shared" si="3"/>
        <v>0</v>
      </c>
    </row>
    <row r="77" spans="1:4" ht="17.25" customHeight="1" x14ac:dyDescent="0.25">
      <c r="A77" s="42" t="s">
        <v>296</v>
      </c>
      <c r="B77" s="38"/>
      <c r="C77" s="43">
        <v>17.14</v>
      </c>
      <c r="D77" s="40">
        <f t="shared" si="3"/>
        <v>0</v>
      </c>
    </row>
    <row r="78" spans="1:4" ht="16.5" customHeight="1" x14ac:dyDescent="0.25">
      <c r="A78" s="42" t="s">
        <v>294</v>
      </c>
      <c r="B78" s="38"/>
      <c r="C78" s="43">
        <v>20</v>
      </c>
      <c r="D78" s="40">
        <f t="shared" si="3"/>
        <v>0</v>
      </c>
    </row>
    <row r="79" spans="1:4" ht="16.5" customHeight="1" x14ac:dyDescent="0.25">
      <c r="A79" s="42" t="s">
        <v>505</v>
      </c>
      <c r="B79" s="38"/>
      <c r="C79" s="43">
        <v>25</v>
      </c>
      <c r="D79" s="40">
        <f t="shared" si="3"/>
        <v>0</v>
      </c>
    </row>
    <row r="80" spans="1:4" ht="16.5" customHeight="1" x14ac:dyDescent="0.25">
      <c r="A80" s="49" t="s">
        <v>253</v>
      </c>
      <c r="B80" s="38"/>
      <c r="C80" s="39">
        <v>7</v>
      </c>
      <c r="D80" s="40">
        <f t="shared" si="3"/>
        <v>0</v>
      </c>
    </row>
    <row r="81" spans="1:8" ht="16.5" customHeight="1" x14ac:dyDescent="0.25">
      <c r="A81" s="37" t="s">
        <v>412</v>
      </c>
      <c r="B81" s="38"/>
      <c r="C81" s="39">
        <v>0.998</v>
      </c>
      <c r="D81" s="40">
        <f t="shared" si="3"/>
        <v>0</v>
      </c>
    </row>
    <row r="82" spans="1:8" ht="16.5" customHeight="1" x14ac:dyDescent="0.25">
      <c r="A82" s="42" t="s">
        <v>404</v>
      </c>
      <c r="B82" s="38"/>
      <c r="C82" s="43">
        <v>3</v>
      </c>
      <c r="D82" s="40">
        <f t="shared" si="3"/>
        <v>0</v>
      </c>
    </row>
    <row r="83" spans="1:8" ht="16.5" customHeight="1" x14ac:dyDescent="0.25">
      <c r="A83" s="37" t="s">
        <v>504</v>
      </c>
      <c r="B83" s="38"/>
      <c r="C83" s="39">
        <v>5.0999999999999996</v>
      </c>
      <c r="D83" s="40">
        <f>B83*C83</f>
        <v>0</v>
      </c>
    </row>
    <row r="84" spans="1:8" ht="16.5" customHeight="1" x14ac:dyDescent="0.25">
      <c r="A84" s="42" t="s">
        <v>288</v>
      </c>
      <c r="B84" s="38"/>
      <c r="C84" s="43">
        <v>6</v>
      </c>
      <c r="D84" s="40">
        <f t="shared" ref="D84:D115" si="4">B84*C84</f>
        <v>0</v>
      </c>
    </row>
    <row r="85" spans="1:8" ht="16.5" customHeight="1" x14ac:dyDescent="0.25">
      <c r="A85" s="42" t="s">
        <v>383</v>
      </c>
      <c r="B85" s="38"/>
      <c r="C85" s="43">
        <v>18.399999999999999</v>
      </c>
      <c r="D85" s="40">
        <f t="shared" si="4"/>
        <v>0</v>
      </c>
    </row>
    <row r="86" spans="1:8" ht="16.5" customHeight="1" x14ac:dyDescent="0.25">
      <c r="A86" s="42" t="s">
        <v>382</v>
      </c>
      <c r="B86" s="38"/>
      <c r="C86" s="43">
        <v>19.2</v>
      </c>
      <c r="D86" s="40">
        <f t="shared" si="4"/>
        <v>0</v>
      </c>
    </row>
    <row r="87" spans="1:8" ht="17.25" customHeight="1" x14ac:dyDescent="0.25">
      <c r="A87" s="42" t="s">
        <v>287</v>
      </c>
      <c r="B87" s="38"/>
      <c r="C87" s="43">
        <v>16</v>
      </c>
      <c r="D87" s="40">
        <f t="shared" si="4"/>
        <v>0</v>
      </c>
    </row>
    <row r="88" spans="1:8" ht="16.5" customHeight="1" x14ac:dyDescent="0.25">
      <c r="A88" s="42" t="s">
        <v>286</v>
      </c>
      <c r="B88" s="38"/>
      <c r="C88" s="43">
        <v>24</v>
      </c>
      <c r="D88" s="40">
        <f t="shared" si="4"/>
        <v>0</v>
      </c>
    </row>
    <row r="89" spans="1:8" ht="16.5" customHeight="1" x14ac:dyDescent="0.25">
      <c r="A89" s="42" t="s">
        <v>244</v>
      </c>
      <c r="B89" s="38"/>
      <c r="C89" s="43"/>
      <c r="D89" s="40">
        <f t="shared" si="4"/>
        <v>0</v>
      </c>
    </row>
    <row r="90" spans="1:8" ht="16.5" customHeight="1" x14ac:dyDescent="0.25">
      <c r="A90" s="46" t="s">
        <v>193</v>
      </c>
      <c r="B90" s="38"/>
      <c r="C90" s="39">
        <v>0.09</v>
      </c>
      <c r="D90" s="40">
        <f t="shared" si="4"/>
        <v>0</v>
      </c>
    </row>
    <row r="91" spans="1:8" ht="16.5" customHeight="1" x14ac:dyDescent="0.25">
      <c r="A91" s="46" t="s">
        <v>194</v>
      </c>
      <c r="B91" s="38"/>
      <c r="C91" s="39">
        <v>0.1125</v>
      </c>
      <c r="D91" s="40">
        <f t="shared" si="4"/>
        <v>0</v>
      </c>
    </row>
    <row r="92" spans="1:8" ht="15.75" customHeight="1" x14ac:dyDescent="0.25">
      <c r="A92" s="46" t="s">
        <v>195</v>
      </c>
      <c r="B92" s="50"/>
      <c r="C92" s="39">
        <v>0.16875000000000001</v>
      </c>
      <c r="D92" s="40">
        <f t="shared" si="4"/>
        <v>0</v>
      </c>
      <c r="H92" s="45"/>
    </row>
    <row r="93" spans="1:8" ht="17.25" customHeight="1" x14ac:dyDescent="0.25">
      <c r="A93" s="46" t="s">
        <v>416</v>
      </c>
      <c r="B93" s="50"/>
      <c r="C93" s="39">
        <v>0.20699999999999999</v>
      </c>
      <c r="D93" s="40">
        <f t="shared" si="4"/>
        <v>0</v>
      </c>
    </row>
    <row r="94" spans="1:8" ht="16.5" customHeight="1" x14ac:dyDescent="0.25">
      <c r="A94" s="46" t="s">
        <v>196</v>
      </c>
      <c r="B94" s="50"/>
      <c r="C94" s="39">
        <v>0.22500000000000001</v>
      </c>
      <c r="D94" s="40">
        <f t="shared" si="4"/>
        <v>0</v>
      </c>
    </row>
    <row r="95" spans="1:8" ht="16.5" customHeight="1" x14ac:dyDescent="0.25">
      <c r="A95" s="46" t="s">
        <v>415</v>
      </c>
      <c r="B95" s="38"/>
      <c r="C95" s="39">
        <v>0.253</v>
      </c>
      <c r="D95" s="40">
        <f t="shared" si="4"/>
        <v>0</v>
      </c>
    </row>
    <row r="96" spans="1:8" ht="16.5" customHeight="1" x14ac:dyDescent="0.25">
      <c r="A96" s="46" t="s">
        <v>315</v>
      </c>
      <c r="B96" s="38"/>
      <c r="C96" s="39">
        <v>0.27</v>
      </c>
      <c r="D96" s="40">
        <f t="shared" si="4"/>
        <v>0</v>
      </c>
    </row>
    <row r="97" spans="1:4" ht="16.5" customHeight="1" x14ac:dyDescent="0.25">
      <c r="A97" s="46" t="s">
        <v>470</v>
      </c>
      <c r="B97" s="38"/>
      <c r="C97" s="39">
        <v>0.28000000000000003</v>
      </c>
      <c r="D97" s="40">
        <f t="shared" si="4"/>
        <v>0</v>
      </c>
    </row>
    <row r="98" spans="1:4" ht="16.5" customHeight="1" x14ac:dyDescent="0.25">
      <c r="A98" s="46" t="s">
        <v>421</v>
      </c>
      <c r="B98" s="50"/>
      <c r="C98" s="39">
        <v>0.30370000000000003</v>
      </c>
      <c r="D98" s="40">
        <f t="shared" si="4"/>
        <v>0</v>
      </c>
    </row>
    <row r="99" spans="1:4" ht="16.5" customHeight="1" x14ac:dyDescent="0.25">
      <c r="A99" s="46" t="s">
        <v>469</v>
      </c>
      <c r="B99" s="38"/>
      <c r="C99" s="39">
        <v>0.33</v>
      </c>
      <c r="D99" s="40">
        <f t="shared" si="4"/>
        <v>0</v>
      </c>
    </row>
    <row r="100" spans="1:4" ht="16.5" customHeight="1" x14ac:dyDescent="0.25">
      <c r="A100" s="46" t="s">
        <v>414</v>
      </c>
      <c r="B100" s="38"/>
      <c r="C100" s="39">
        <v>0.36270000000000002</v>
      </c>
      <c r="D100" s="40">
        <f t="shared" si="4"/>
        <v>0</v>
      </c>
    </row>
    <row r="101" spans="1:4" ht="16.5" customHeight="1" x14ac:dyDescent="0.25">
      <c r="A101" s="46" t="s">
        <v>420</v>
      </c>
      <c r="B101" s="38"/>
      <c r="C101" s="39">
        <v>0.37119999999999997</v>
      </c>
      <c r="D101" s="40">
        <f t="shared" si="4"/>
        <v>0</v>
      </c>
    </row>
    <row r="102" spans="1:4" ht="16.5" customHeight="1" x14ac:dyDescent="0.25">
      <c r="A102" s="46" t="s">
        <v>197</v>
      </c>
      <c r="B102" s="38"/>
      <c r="C102" s="39">
        <v>0.39374999999999999</v>
      </c>
      <c r="D102" s="40">
        <f t="shared" si="4"/>
        <v>0</v>
      </c>
    </row>
    <row r="103" spans="1:4" ht="16.5" customHeight="1" x14ac:dyDescent="0.25">
      <c r="A103" s="46" t="s">
        <v>413</v>
      </c>
      <c r="B103" s="50"/>
      <c r="C103" s="39">
        <v>0.4123</v>
      </c>
      <c r="D103" s="40">
        <f t="shared" si="4"/>
        <v>0</v>
      </c>
    </row>
    <row r="104" spans="1:4" ht="16.5" customHeight="1" x14ac:dyDescent="0.25">
      <c r="A104" s="46" t="s">
        <v>445</v>
      </c>
      <c r="B104" s="50"/>
      <c r="C104" s="39">
        <v>0.43880000000000002</v>
      </c>
      <c r="D104" s="40">
        <f t="shared" si="4"/>
        <v>0</v>
      </c>
    </row>
    <row r="105" spans="1:4" ht="16.5" customHeight="1" x14ac:dyDescent="0.25">
      <c r="A105" s="46" t="s">
        <v>198</v>
      </c>
      <c r="B105" s="50"/>
      <c r="C105" s="39">
        <v>0.45</v>
      </c>
      <c r="D105" s="40">
        <f t="shared" si="4"/>
        <v>0</v>
      </c>
    </row>
    <row r="106" spans="1:4" ht="16.5" customHeight="1" x14ac:dyDescent="0.25">
      <c r="A106" s="46" t="s">
        <v>444</v>
      </c>
      <c r="B106" s="38"/>
      <c r="C106" s="39">
        <v>0.4773</v>
      </c>
      <c r="D106" s="40">
        <f t="shared" si="4"/>
        <v>0</v>
      </c>
    </row>
    <row r="107" spans="1:4" ht="16.5" customHeight="1" x14ac:dyDescent="0.25">
      <c r="A107" s="46" t="s">
        <v>317</v>
      </c>
      <c r="B107" s="38"/>
      <c r="C107" s="39">
        <v>0.5</v>
      </c>
      <c r="D107" s="40">
        <f t="shared" si="4"/>
        <v>0</v>
      </c>
    </row>
    <row r="108" spans="1:4" ht="16.5" customHeight="1" x14ac:dyDescent="0.25">
      <c r="A108" s="46" t="s">
        <v>199</v>
      </c>
      <c r="B108" s="38"/>
      <c r="C108" s="39">
        <v>0.50624999999999998</v>
      </c>
      <c r="D108" s="40">
        <f t="shared" si="4"/>
        <v>0</v>
      </c>
    </row>
    <row r="109" spans="1:4" ht="16.5" customHeight="1" x14ac:dyDescent="0.25">
      <c r="A109" s="46" t="s">
        <v>200</v>
      </c>
      <c r="B109" s="50"/>
      <c r="C109" s="39">
        <v>0.5625</v>
      </c>
      <c r="D109" s="40">
        <f t="shared" si="4"/>
        <v>0</v>
      </c>
    </row>
    <row r="110" spans="1:4" ht="16.5" customHeight="1" x14ac:dyDescent="0.25">
      <c r="A110" s="46" t="s">
        <v>201</v>
      </c>
      <c r="B110" s="38"/>
      <c r="C110" s="39">
        <v>0.61875000000000002</v>
      </c>
      <c r="D110" s="40">
        <f t="shared" si="4"/>
        <v>0</v>
      </c>
    </row>
    <row r="111" spans="1:4" ht="16.5" customHeight="1" x14ac:dyDescent="0.25">
      <c r="A111" s="46" t="s">
        <v>202</v>
      </c>
      <c r="B111" s="50"/>
      <c r="C111" s="39">
        <v>0.67500000000000004</v>
      </c>
      <c r="D111" s="40">
        <f t="shared" si="4"/>
        <v>0</v>
      </c>
    </row>
    <row r="112" spans="1:4" ht="16.5" customHeight="1" x14ac:dyDescent="0.25">
      <c r="A112" s="46" t="s">
        <v>443</v>
      </c>
      <c r="B112" s="38"/>
      <c r="C112" s="39">
        <v>0.69120000000000004</v>
      </c>
      <c r="D112" s="40">
        <f t="shared" si="4"/>
        <v>0</v>
      </c>
    </row>
    <row r="113" spans="1:4" ht="16.5" customHeight="1" x14ac:dyDescent="0.25">
      <c r="A113" s="46" t="s">
        <v>203</v>
      </c>
      <c r="B113" s="38"/>
      <c r="C113" s="39">
        <v>0.71312500000000001</v>
      </c>
      <c r="D113" s="40">
        <f t="shared" si="4"/>
        <v>0</v>
      </c>
    </row>
    <row r="114" spans="1:4" ht="16.5" customHeight="1" x14ac:dyDescent="0.25">
      <c r="A114" s="46" t="s">
        <v>204</v>
      </c>
      <c r="B114" s="38"/>
      <c r="C114" s="39">
        <v>0.78749999999999998</v>
      </c>
      <c r="D114" s="40">
        <f t="shared" si="4"/>
        <v>0</v>
      </c>
    </row>
    <row r="115" spans="1:4" ht="16.5" customHeight="1" x14ac:dyDescent="0.25">
      <c r="A115" s="46" t="s">
        <v>205</v>
      </c>
      <c r="B115" s="38"/>
      <c r="C115" s="39">
        <v>0.84375</v>
      </c>
      <c r="D115" s="40">
        <f t="shared" si="4"/>
        <v>0</v>
      </c>
    </row>
    <row r="116" spans="1:4" ht="16.5" customHeight="1" x14ac:dyDescent="0.25">
      <c r="A116" s="46" t="s">
        <v>206</v>
      </c>
      <c r="B116" s="38"/>
      <c r="C116" s="39">
        <v>0.9</v>
      </c>
      <c r="D116" s="40">
        <f t="shared" ref="D116:D147" si="5">B116*C116</f>
        <v>0</v>
      </c>
    </row>
    <row r="117" spans="1:4" ht="16.5" customHeight="1" x14ac:dyDescent="0.25">
      <c r="A117" s="46" t="s">
        <v>207</v>
      </c>
      <c r="B117" s="38"/>
      <c r="C117" s="39">
        <v>0.95625000000000004</v>
      </c>
      <c r="D117" s="40">
        <f t="shared" si="5"/>
        <v>0</v>
      </c>
    </row>
    <row r="118" spans="1:4" ht="16.5" customHeight="1" x14ac:dyDescent="0.25">
      <c r="A118" s="46" t="s">
        <v>306</v>
      </c>
      <c r="B118" s="38"/>
      <c r="C118" s="39">
        <v>1.02</v>
      </c>
      <c r="D118" s="40">
        <f t="shared" si="5"/>
        <v>0</v>
      </c>
    </row>
    <row r="119" spans="1:4" ht="16.5" customHeight="1" x14ac:dyDescent="0.25">
      <c r="A119" s="46" t="s">
        <v>307</v>
      </c>
      <c r="B119" s="38"/>
      <c r="C119" s="39">
        <v>1.07</v>
      </c>
      <c r="D119" s="40">
        <f t="shared" si="5"/>
        <v>0</v>
      </c>
    </row>
    <row r="120" spans="1:4" ht="16.5" customHeight="1" x14ac:dyDescent="0.25">
      <c r="A120" s="46" t="s">
        <v>308</v>
      </c>
      <c r="B120" s="38"/>
      <c r="C120" s="39">
        <v>1.1299999999999999</v>
      </c>
      <c r="D120" s="40">
        <f t="shared" si="5"/>
        <v>0</v>
      </c>
    </row>
    <row r="121" spans="1:4" ht="16.5" customHeight="1" x14ac:dyDescent="0.25">
      <c r="A121" s="46" t="s">
        <v>309</v>
      </c>
      <c r="B121" s="38"/>
      <c r="C121" s="39">
        <v>1.19</v>
      </c>
      <c r="D121" s="40">
        <f t="shared" si="5"/>
        <v>0</v>
      </c>
    </row>
    <row r="122" spans="1:4" ht="16.5" customHeight="1" x14ac:dyDescent="0.25">
      <c r="A122" s="46" t="s">
        <v>310</v>
      </c>
      <c r="B122" s="38"/>
      <c r="C122" s="39">
        <v>1.24</v>
      </c>
      <c r="D122" s="40">
        <f t="shared" si="5"/>
        <v>0</v>
      </c>
    </row>
    <row r="123" spans="1:4" ht="16.5" customHeight="1" x14ac:dyDescent="0.25">
      <c r="A123" s="46" t="s">
        <v>311</v>
      </c>
      <c r="B123" s="38"/>
      <c r="C123" s="39">
        <v>1.3</v>
      </c>
      <c r="D123" s="40">
        <f t="shared" si="5"/>
        <v>0</v>
      </c>
    </row>
    <row r="124" spans="1:4" ht="16.5" customHeight="1" x14ac:dyDescent="0.25">
      <c r="A124" s="46" t="s">
        <v>312</v>
      </c>
      <c r="B124" s="38"/>
      <c r="C124" s="39">
        <v>1.36</v>
      </c>
      <c r="D124" s="40">
        <f t="shared" si="5"/>
        <v>0</v>
      </c>
    </row>
    <row r="125" spans="1:4" ht="16.5" customHeight="1" x14ac:dyDescent="0.25">
      <c r="A125" s="46" t="s">
        <v>479</v>
      </c>
      <c r="B125" s="38"/>
      <c r="C125" s="39">
        <v>1.4730000000000001</v>
      </c>
      <c r="D125" s="40">
        <f t="shared" si="5"/>
        <v>0</v>
      </c>
    </row>
    <row r="126" spans="1:4" ht="16.5" customHeight="1" x14ac:dyDescent="0.25">
      <c r="A126" s="46" t="s">
        <v>517</v>
      </c>
      <c r="B126" s="38"/>
      <c r="C126" s="39">
        <v>1.8</v>
      </c>
      <c r="D126" s="40">
        <f t="shared" si="5"/>
        <v>0</v>
      </c>
    </row>
    <row r="127" spans="1:4" ht="16.5" customHeight="1" x14ac:dyDescent="0.25">
      <c r="A127" s="46" t="s">
        <v>518</v>
      </c>
      <c r="B127" s="38"/>
      <c r="C127" s="39">
        <v>1.81</v>
      </c>
      <c r="D127" s="40">
        <f t="shared" si="5"/>
        <v>0</v>
      </c>
    </row>
    <row r="128" spans="1:4" ht="16.5" customHeight="1" x14ac:dyDescent="0.25">
      <c r="A128" s="46" t="s">
        <v>478</v>
      </c>
      <c r="B128" s="38"/>
      <c r="C128" s="39">
        <v>1.9259999999999999</v>
      </c>
      <c r="D128" s="40">
        <f t="shared" si="5"/>
        <v>0</v>
      </c>
    </row>
    <row r="129" spans="1:7" ht="16.5" customHeight="1" x14ac:dyDescent="0.25">
      <c r="A129" s="46" t="s">
        <v>564</v>
      </c>
      <c r="B129" s="38"/>
      <c r="C129" s="39">
        <v>0.27800000000000002</v>
      </c>
      <c r="D129" s="40">
        <f t="shared" si="5"/>
        <v>0</v>
      </c>
    </row>
    <row r="130" spans="1:7" ht="16.5" customHeight="1" x14ac:dyDescent="0.25">
      <c r="A130" s="46" t="s">
        <v>565</v>
      </c>
      <c r="B130" s="38"/>
      <c r="C130" s="39">
        <v>0.39200000000000002</v>
      </c>
      <c r="D130" s="40">
        <f t="shared" si="5"/>
        <v>0</v>
      </c>
    </row>
    <row r="131" spans="1:7" ht="16.5" customHeight="1" x14ac:dyDescent="0.25">
      <c r="A131" s="46" t="s">
        <v>566</v>
      </c>
      <c r="B131" s="38"/>
      <c r="C131" s="39">
        <v>0.44500000000000001</v>
      </c>
      <c r="D131" s="40">
        <f t="shared" si="5"/>
        <v>0</v>
      </c>
    </row>
    <row r="132" spans="1:7" ht="16.5" customHeight="1" x14ac:dyDescent="0.25">
      <c r="A132" s="46" t="s">
        <v>567</v>
      </c>
      <c r="B132" s="38"/>
      <c r="C132" s="39">
        <v>0.5625</v>
      </c>
      <c r="D132" s="40">
        <f t="shared" si="5"/>
        <v>0</v>
      </c>
    </row>
    <row r="133" spans="1:7" ht="16.5" customHeight="1" x14ac:dyDescent="0.25">
      <c r="A133" s="46" t="s">
        <v>568</v>
      </c>
      <c r="B133" s="38"/>
      <c r="C133" s="39">
        <v>0.61875000000000002</v>
      </c>
      <c r="D133" s="40">
        <f t="shared" si="5"/>
        <v>0</v>
      </c>
    </row>
    <row r="134" spans="1:7" ht="16.5" customHeight="1" x14ac:dyDescent="0.25">
      <c r="A134" s="46" t="s">
        <v>569</v>
      </c>
      <c r="B134" s="38"/>
      <c r="C134" s="39">
        <v>0.67500000000000004</v>
      </c>
      <c r="D134" s="40">
        <f t="shared" si="5"/>
        <v>0</v>
      </c>
    </row>
    <row r="135" spans="1:7" ht="16.5" customHeight="1" x14ac:dyDescent="0.25">
      <c r="A135" s="46" t="s">
        <v>570</v>
      </c>
      <c r="B135" s="38"/>
      <c r="C135" s="39">
        <v>0.71312500000000001</v>
      </c>
      <c r="D135" s="40">
        <f t="shared" si="5"/>
        <v>0</v>
      </c>
    </row>
    <row r="136" spans="1:7" ht="16.5" customHeight="1" x14ac:dyDescent="0.25">
      <c r="A136" s="46" t="s">
        <v>571</v>
      </c>
      <c r="B136" s="38"/>
      <c r="C136" s="39">
        <v>0.78749999999999998</v>
      </c>
      <c r="D136" s="40">
        <f t="shared" si="5"/>
        <v>0</v>
      </c>
    </row>
    <row r="137" spans="1:7" ht="16.5" customHeight="1" x14ac:dyDescent="0.25">
      <c r="A137" s="46" t="s">
        <v>572</v>
      </c>
      <c r="B137" s="38"/>
      <c r="C137" s="39">
        <v>0.84375</v>
      </c>
      <c r="D137" s="40">
        <f t="shared" si="5"/>
        <v>0</v>
      </c>
      <c r="G137" s="47"/>
    </row>
    <row r="138" spans="1:7" ht="16.5" customHeight="1" x14ac:dyDescent="0.25">
      <c r="A138" s="46" t="s">
        <v>573</v>
      </c>
      <c r="B138" s="38"/>
      <c r="C138" s="39">
        <v>0.9</v>
      </c>
      <c r="D138" s="40">
        <f t="shared" si="5"/>
        <v>0</v>
      </c>
    </row>
    <row r="139" spans="1:7" ht="16.5" customHeight="1" x14ac:dyDescent="0.25">
      <c r="A139" s="46" t="s">
        <v>574</v>
      </c>
      <c r="B139" s="38"/>
      <c r="C139" s="39">
        <v>0.95625000000000004</v>
      </c>
      <c r="D139" s="40">
        <f t="shared" si="5"/>
        <v>0</v>
      </c>
    </row>
    <row r="140" spans="1:7" ht="16.5" customHeight="1" x14ac:dyDescent="0.25">
      <c r="A140" s="46" t="s">
        <v>575</v>
      </c>
      <c r="B140" s="38"/>
      <c r="C140" s="39">
        <v>1.02</v>
      </c>
      <c r="D140" s="40">
        <f t="shared" si="5"/>
        <v>0</v>
      </c>
    </row>
    <row r="141" spans="1:7" ht="16.5" customHeight="1" x14ac:dyDescent="0.25">
      <c r="A141" s="46" t="s">
        <v>576</v>
      </c>
      <c r="B141" s="38"/>
      <c r="C141" s="39">
        <v>1.07</v>
      </c>
      <c r="D141" s="40">
        <f t="shared" si="5"/>
        <v>0</v>
      </c>
    </row>
    <row r="142" spans="1:7" ht="16.5" customHeight="1" x14ac:dyDescent="0.25">
      <c r="A142" s="46" t="s">
        <v>577</v>
      </c>
      <c r="B142" s="38"/>
      <c r="C142" s="39">
        <v>1.1299999999999999</v>
      </c>
      <c r="D142" s="40">
        <f t="shared" si="5"/>
        <v>0</v>
      </c>
    </row>
    <row r="143" spans="1:7" ht="16.5" customHeight="1" x14ac:dyDescent="0.25">
      <c r="A143" s="46" t="s">
        <v>578</v>
      </c>
      <c r="B143" s="38"/>
      <c r="C143" s="39">
        <v>1.19</v>
      </c>
      <c r="D143" s="40">
        <f t="shared" si="5"/>
        <v>0</v>
      </c>
    </row>
    <row r="144" spans="1:7" ht="16.5" customHeight="1" x14ac:dyDescent="0.25">
      <c r="A144" s="46" t="s">
        <v>579</v>
      </c>
      <c r="B144" s="38"/>
      <c r="C144" s="39">
        <v>1.24</v>
      </c>
      <c r="D144" s="40">
        <f t="shared" si="5"/>
        <v>0</v>
      </c>
    </row>
    <row r="145" spans="1:4" ht="16.5" customHeight="1" x14ac:dyDescent="0.25">
      <c r="A145" s="46" t="s">
        <v>580</v>
      </c>
      <c r="B145" s="38"/>
      <c r="C145" s="39">
        <v>1.3</v>
      </c>
      <c r="D145" s="40">
        <f t="shared" si="5"/>
        <v>0</v>
      </c>
    </row>
    <row r="146" spans="1:4" ht="16.5" customHeight="1" x14ac:dyDescent="0.25">
      <c r="A146" s="46" t="s">
        <v>581</v>
      </c>
      <c r="B146" s="38"/>
      <c r="C146" s="39">
        <v>1.36</v>
      </c>
      <c r="D146" s="40">
        <f t="shared" si="5"/>
        <v>0</v>
      </c>
    </row>
    <row r="147" spans="1:4" ht="16.5" customHeight="1" x14ac:dyDescent="0.25">
      <c r="A147" s="46" t="s">
        <v>582</v>
      </c>
      <c r="B147" s="38"/>
      <c r="C147" s="39">
        <v>1.4166000000000001</v>
      </c>
      <c r="D147" s="40">
        <f t="shared" si="5"/>
        <v>0</v>
      </c>
    </row>
    <row r="148" spans="1:4" ht="16.5" customHeight="1" x14ac:dyDescent="0.25">
      <c r="A148" s="46" t="s">
        <v>583</v>
      </c>
      <c r="B148" s="38"/>
      <c r="C148" s="39">
        <v>1.473333</v>
      </c>
      <c r="D148" s="40">
        <f t="shared" ref="D148:D172" si="6">B148*C148</f>
        <v>0</v>
      </c>
    </row>
    <row r="149" spans="1:4" ht="16.5" customHeight="1" x14ac:dyDescent="0.25">
      <c r="A149" s="46" t="s">
        <v>314</v>
      </c>
      <c r="B149" s="38"/>
      <c r="C149" s="39">
        <v>1.08</v>
      </c>
      <c r="D149" s="40">
        <f t="shared" si="6"/>
        <v>0</v>
      </c>
    </row>
    <row r="150" spans="1:4" ht="16.5" customHeight="1" x14ac:dyDescent="0.25">
      <c r="A150" s="46" t="s">
        <v>313</v>
      </c>
      <c r="B150" s="38"/>
      <c r="C150" s="39">
        <v>0.108</v>
      </c>
      <c r="D150" s="40">
        <f t="shared" si="6"/>
        <v>0</v>
      </c>
    </row>
    <row r="151" spans="1:4" ht="16.5" customHeight="1" x14ac:dyDescent="0.25">
      <c r="A151" s="46" t="s">
        <v>316</v>
      </c>
      <c r="B151" s="38"/>
      <c r="C151" s="39">
        <v>0.16200000000000001</v>
      </c>
      <c r="D151" s="40">
        <f t="shared" si="6"/>
        <v>0</v>
      </c>
    </row>
    <row r="152" spans="1:4" ht="16.5" customHeight="1" x14ac:dyDescent="0.25">
      <c r="A152" s="46" t="s">
        <v>318</v>
      </c>
      <c r="B152" s="38"/>
      <c r="C152" s="39">
        <v>0.216</v>
      </c>
      <c r="D152" s="40">
        <f t="shared" si="6"/>
        <v>0</v>
      </c>
    </row>
    <row r="153" spans="1:4" ht="15.75" customHeight="1" x14ac:dyDescent="0.25">
      <c r="A153" s="46" t="s">
        <v>319</v>
      </c>
      <c r="B153" s="38"/>
      <c r="C153" s="39">
        <v>0.23760000000000001</v>
      </c>
      <c r="D153" s="40">
        <f t="shared" si="6"/>
        <v>0</v>
      </c>
    </row>
    <row r="154" spans="1:4" ht="16.5" customHeight="1" x14ac:dyDescent="0.25">
      <c r="A154" s="46" t="s">
        <v>320</v>
      </c>
      <c r="B154" s="38"/>
      <c r="C154" s="39">
        <v>0.23216000000000001</v>
      </c>
      <c r="D154" s="40">
        <f t="shared" si="6"/>
        <v>0</v>
      </c>
    </row>
    <row r="155" spans="1:4" ht="16.5" customHeight="1" x14ac:dyDescent="0.25">
      <c r="A155" s="46" t="s">
        <v>321</v>
      </c>
      <c r="B155" s="38"/>
      <c r="C155" s="39">
        <v>0.27</v>
      </c>
      <c r="D155" s="40">
        <f t="shared" si="6"/>
        <v>0</v>
      </c>
    </row>
    <row r="156" spans="1:4" ht="16.5" customHeight="1" x14ac:dyDescent="0.25">
      <c r="A156" s="46" t="s">
        <v>322</v>
      </c>
      <c r="B156" s="38"/>
      <c r="C156" s="39">
        <v>0.3024</v>
      </c>
      <c r="D156" s="40">
        <f t="shared" si="6"/>
        <v>0</v>
      </c>
    </row>
    <row r="157" spans="1:4" ht="16.5" customHeight="1" x14ac:dyDescent="0.25">
      <c r="A157" s="46" t="s">
        <v>323</v>
      </c>
      <c r="B157" s="38"/>
      <c r="C157" s="39">
        <v>0.32400000000000001</v>
      </c>
      <c r="D157" s="40">
        <f t="shared" si="6"/>
        <v>0</v>
      </c>
    </row>
    <row r="158" spans="1:4" ht="16.5" customHeight="1" x14ac:dyDescent="0.25">
      <c r="A158" s="46" t="s">
        <v>324</v>
      </c>
      <c r="B158" s="38"/>
      <c r="C158" s="39">
        <v>0.432</v>
      </c>
      <c r="D158" s="40">
        <f t="shared" si="6"/>
        <v>0</v>
      </c>
    </row>
    <row r="159" spans="1:4" ht="16.5" customHeight="1" x14ac:dyDescent="0.25">
      <c r="A159" s="46" t="s">
        <v>325</v>
      </c>
      <c r="B159" s="38"/>
      <c r="C159" s="39">
        <v>0.46439999999999998</v>
      </c>
      <c r="D159" s="40">
        <f t="shared" si="6"/>
        <v>0</v>
      </c>
    </row>
    <row r="160" spans="1:4" ht="16.5" customHeight="1" x14ac:dyDescent="0.25">
      <c r="A160" s="46" t="s">
        <v>326</v>
      </c>
      <c r="B160" s="38"/>
      <c r="C160" s="39">
        <v>0.48599999999999999</v>
      </c>
      <c r="D160" s="40">
        <f t="shared" si="6"/>
        <v>0</v>
      </c>
    </row>
    <row r="161" spans="1:4" ht="16.5" customHeight="1" x14ac:dyDescent="0.25">
      <c r="A161" s="46" t="s">
        <v>327</v>
      </c>
      <c r="B161" s="38"/>
      <c r="C161" s="39">
        <v>0.54</v>
      </c>
      <c r="D161" s="40">
        <f t="shared" si="6"/>
        <v>0</v>
      </c>
    </row>
    <row r="162" spans="1:4" ht="16.5" customHeight="1" x14ac:dyDescent="0.25">
      <c r="A162" s="46" t="s">
        <v>356</v>
      </c>
      <c r="B162" s="38"/>
      <c r="C162" s="39">
        <v>0.64800000000000002</v>
      </c>
      <c r="D162" s="40">
        <f t="shared" si="6"/>
        <v>0</v>
      </c>
    </row>
    <row r="163" spans="1:4" ht="16.5" customHeight="1" x14ac:dyDescent="0.25">
      <c r="A163" s="46" t="s">
        <v>357</v>
      </c>
      <c r="B163" s="38"/>
      <c r="C163" s="39">
        <v>0.86399999999999999</v>
      </c>
      <c r="D163" s="40">
        <f t="shared" si="6"/>
        <v>0</v>
      </c>
    </row>
    <row r="164" spans="1:4" ht="16.5" customHeight="1" x14ac:dyDescent="0.25">
      <c r="A164" s="49" t="s">
        <v>263</v>
      </c>
      <c r="B164" s="38"/>
      <c r="C164" s="39">
        <v>5.5</v>
      </c>
      <c r="D164" s="40">
        <f t="shared" si="6"/>
        <v>0</v>
      </c>
    </row>
    <row r="165" spans="1:4" ht="16.5" customHeight="1" x14ac:dyDescent="0.25">
      <c r="A165" s="49" t="s">
        <v>384</v>
      </c>
      <c r="B165" s="38"/>
      <c r="C165" s="39">
        <v>7.15</v>
      </c>
      <c r="D165" s="40">
        <f t="shared" si="6"/>
        <v>0</v>
      </c>
    </row>
    <row r="166" spans="1:4" ht="16.5" customHeight="1" x14ac:dyDescent="0.25">
      <c r="A166" s="49" t="s">
        <v>251</v>
      </c>
      <c r="B166" s="38"/>
      <c r="C166" s="39">
        <v>8.25</v>
      </c>
      <c r="D166" s="40">
        <f t="shared" si="6"/>
        <v>0</v>
      </c>
    </row>
    <row r="167" spans="1:4" ht="16.5" customHeight="1" x14ac:dyDescent="0.25">
      <c r="A167" s="49" t="s">
        <v>250</v>
      </c>
      <c r="B167" s="38"/>
      <c r="C167" s="39">
        <v>11</v>
      </c>
      <c r="D167" s="40">
        <f t="shared" si="6"/>
        <v>0</v>
      </c>
    </row>
    <row r="168" spans="1:4" ht="16.5" customHeight="1" x14ac:dyDescent="0.25">
      <c r="A168" s="49" t="s">
        <v>249</v>
      </c>
      <c r="B168" s="38"/>
      <c r="C168" s="39">
        <v>16.5</v>
      </c>
      <c r="D168" s="40">
        <f t="shared" si="6"/>
        <v>0</v>
      </c>
    </row>
    <row r="169" spans="1:4" ht="16.5" customHeight="1" x14ac:dyDescent="0.25">
      <c r="A169" s="49" t="s">
        <v>372</v>
      </c>
      <c r="B169" s="38"/>
      <c r="C169" s="39">
        <v>17.5</v>
      </c>
      <c r="D169" s="40">
        <f t="shared" si="6"/>
        <v>0</v>
      </c>
    </row>
    <row r="170" spans="1:4" ht="16.5" customHeight="1" x14ac:dyDescent="0.25">
      <c r="A170" s="42" t="s">
        <v>353</v>
      </c>
      <c r="B170" s="38"/>
      <c r="C170" s="43">
        <v>97.8</v>
      </c>
      <c r="D170" s="40">
        <f t="shared" si="6"/>
        <v>0</v>
      </c>
    </row>
    <row r="171" spans="1:4" ht="16.5" customHeight="1" x14ac:dyDescent="0.25">
      <c r="A171" s="42" t="s">
        <v>238</v>
      </c>
      <c r="B171" s="38"/>
      <c r="C171" s="43">
        <v>5</v>
      </c>
      <c r="D171" s="40">
        <f t="shared" si="6"/>
        <v>0</v>
      </c>
    </row>
    <row r="172" spans="1:4" ht="16.5" customHeight="1" x14ac:dyDescent="0.25">
      <c r="A172" s="42" t="s">
        <v>242</v>
      </c>
      <c r="B172" s="38"/>
      <c r="C172" s="43">
        <v>5.5</v>
      </c>
      <c r="D172" s="40">
        <f t="shared" si="6"/>
        <v>0</v>
      </c>
    </row>
    <row r="173" spans="1:4" ht="16.5" customHeight="1" x14ac:dyDescent="0.25">
      <c r="A173" s="42" t="s">
        <v>239</v>
      </c>
      <c r="B173" s="38"/>
      <c r="C173" s="43">
        <v>8</v>
      </c>
      <c r="D173" s="40">
        <f>B173*C173</f>
        <v>0</v>
      </c>
    </row>
    <row r="174" spans="1:4" ht="16.5" customHeight="1" x14ac:dyDescent="0.25">
      <c r="A174" s="42" t="s">
        <v>458</v>
      </c>
      <c r="B174" s="38"/>
      <c r="C174" s="43">
        <v>0.1</v>
      </c>
      <c r="D174" s="40">
        <f t="shared" ref="D174:D206" si="7">B174*C174</f>
        <v>0</v>
      </c>
    </row>
    <row r="175" spans="1:4" ht="16.5" customHeight="1" x14ac:dyDescent="0.25">
      <c r="A175" s="37" t="s">
        <v>512</v>
      </c>
      <c r="B175" s="38"/>
      <c r="C175" s="39">
        <v>9.8000000000000007</v>
      </c>
      <c r="D175" s="40">
        <f t="shared" si="7"/>
        <v>0</v>
      </c>
    </row>
    <row r="176" spans="1:4" ht="16.5" customHeight="1" x14ac:dyDescent="0.25">
      <c r="A176" s="37" t="s">
        <v>513</v>
      </c>
      <c r="B176" s="38"/>
      <c r="C176" s="39">
        <v>10.5</v>
      </c>
      <c r="D176" s="40">
        <f t="shared" si="7"/>
        <v>0</v>
      </c>
    </row>
    <row r="177" spans="1:4" ht="16.5" customHeight="1" x14ac:dyDescent="0.25">
      <c r="A177" s="37" t="s">
        <v>221</v>
      </c>
      <c r="B177" s="38"/>
      <c r="C177" s="39">
        <v>9</v>
      </c>
      <c r="D177" s="40">
        <f t="shared" si="7"/>
        <v>0</v>
      </c>
    </row>
    <row r="178" spans="1:4" ht="16.5" customHeight="1" x14ac:dyDescent="0.25">
      <c r="A178" s="37" t="s">
        <v>220</v>
      </c>
      <c r="B178" s="38"/>
      <c r="C178" s="39">
        <v>12.5</v>
      </c>
      <c r="D178" s="40">
        <f t="shared" ref="D178" si="8">B178*C178</f>
        <v>0</v>
      </c>
    </row>
    <row r="179" spans="1:4" ht="16.5" customHeight="1" x14ac:dyDescent="0.25">
      <c r="A179" s="37" t="s">
        <v>521</v>
      </c>
      <c r="B179" s="38"/>
      <c r="C179" s="39">
        <v>4.5</v>
      </c>
      <c r="D179" s="40">
        <f t="shared" si="7"/>
        <v>0</v>
      </c>
    </row>
    <row r="180" spans="1:4" ht="16.5" customHeight="1" x14ac:dyDescent="0.25">
      <c r="A180" s="37" t="s">
        <v>241</v>
      </c>
      <c r="B180" s="38"/>
      <c r="C180" s="39">
        <v>25</v>
      </c>
      <c r="D180" s="40">
        <f t="shared" si="7"/>
        <v>0</v>
      </c>
    </row>
    <row r="181" spans="1:4" ht="16.5" customHeight="1" x14ac:dyDescent="0.25">
      <c r="A181" s="37" t="s">
        <v>396</v>
      </c>
      <c r="B181" s="38"/>
      <c r="C181" s="39">
        <v>80</v>
      </c>
      <c r="D181" s="40">
        <f t="shared" si="7"/>
        <v>0</v>
      </c>
    </row>
    <row r="182" spans="1:4" ht="16.5" customHeight="1" x14ac:dyDescent="0.25">
      <c r="A182" s="37" t="s">
        <v>228</v>
      </c>
      <c r="B182" s="38"/>
      <c r="C182" s="39">
        <v>20</v>
      </c>
      <c r="D182" s="40">
        <f t="shared" si="7"/>
        <v>0</v>
      </c>
    </row>
    <row r="183" spans="1:4" ht="16.5" customHeight="1" x14ac:dyDescent="0.25">
      <c r="A183" s="37" t="s">
        <v>506</v>
      </c>
      <c r="B183" s="38"/>
      <c r="C183" s="39">
        <v>1.5</v>
      </c>
      <c r="D183" s="40">
        <f t="shared" si="7"/>
        <v>0</v>
      </c>
    </row>
    <row r="184" spans="1:4" ht="16.5" customHeight="1" x14ac:dyDescent="0.25">
      <c r="A184" s="42" t="s">
        <v>405</v>
      </c>
      <c r="B184" s="38"/>
      <c r="C184" s="43">
        <v>0.68</v>
      </c>
      <c r="D184" s="40">
        <f t="shared" si="7"/>
        <v>0</v>
      </c>
    </row>
    <row r="185" spans="1:4" ht="16.5" customHeight="1" x14ac:dyDescent="0.25">
      <c r="A185" s="49" t="s">
        <v>280</v>
      </c>
      <c r="B185" s="38"/>
      <c r="C185" s="39">
        <v>90</v>
      </c>
      <c r="D185" s="40">
        <f t="shared" si="7"/>
        <v>0</v>
      </c>
    </row>
    <row r="186" spans="1:4" ht="16.5" customHeight="1" x14ac:dyDescent="0.25">
      <c r="A186" s="49" t="s">
        <v>278</v>
      </c>
      <c r="B186" s="38"/>
      <c r="C186" s="39">
        <v>94.5</v>
      </c>
      <c r="D186" s="40">
        <f t="shared" si="7"/>
        <v>0</v>
      </c>
    </row>
    <row r="187" spans="1:4" ht="16.5" customHeight="1" x14ac:dyDescent="0.25">
      <c r="A187" s="49" t="s">
        <v>279</v>
      </c>
      <c r="B187" s="38"/>
      <c r="C187" s="39">
        <v>99</v>
      </c>
      <c r="D187" s="40">
        <f t="shared" si="7"/>
        <v>0</v>
      </c>
    </row>
    <row r="188" spans="1:4" ht="16.5" customHeight="1" x14ac:dyDescent="0.25">
      <c r="A188" s="49" t="s">
        <v>281</v>
      </c>
      <c r="B188" s="38"/>
      <c r="C188" s="39">
        <v>100.35</v>
      </c>
      <c r="D188" s="40">
        <f t="shared" si="7"/>
        <v>0</v>
      </c>
    </row>
    <row r="189" spans="1:4" ht="16.5" customHeight="1" x14ac:dyDescent="0.25">
      <c r="A189" s="49" t="s">
        <v>282</v>
      </c>
      <c r="B189" s="38"/>
      <c r="C189" s="39">
        <v>100.08</v>
      </c>
      <c r="D189" s="40">
        <f t="shared" si="7"/>
        <v>0</v>
      </c>
    </row>
    <row r="190" spans="1:4" ht="16.5" customHeight="1" x14ac:dyDescent="0.25">
      <c r="A190" s="49" t="s">
        <v>264</v>
      </c>
      <c r="B190" s="38"/>
      <c r="C190" s="39">
        <v>27</v>
      </c>
      <c r="D190" s="40">
        <f t="shared" si="7"/>
        <v>0</v>
      </c>
    </row>
    <row r="191" spans="1:4" ht="16.5" customHeight="1" x14ac:dyDescent="0.25">
      <c r="A191" s="49" t="s">
        <v>265</v>
      </c>
      <c r="B191" s="38"/>
      <c r="C191" s="39">
        <v>31.5</v>
      </c>
      <c r="D191" s="40">
        <f t="shared" si="7"/>
        <v>0</v>
      </c>
    </row>
    <row r="192" spans="1:4" ht="16.5" customHeight="1" x14ac:dyDescent="0.25">
      <c r="A192" s="49" t="s">
        <v>266</v>
      </c>
      <c r="B192" s="38"/>
      <c r="C192" s="39">
        <v>36</v>
      </c>
      <c r="D192" s="40">
        <f t="shared" si="7"/>
        <v>0</v>
      </c>
    </row>
    <row r="193" spans="1:4" ht="16.5" customHeight="1" x14ac:dyDescent="0.25">
      <c r="A193" s="49" t="s">
        <v>267</v>
      </c>
      <c r="B193" s="38"/>
      <c r="C193" s="39">
        <v>40.5</v>
      </c>
      <c r="D193" s="40">
        <f t="shared" si="7"/>
        <v>0</v>
      </c>
    </row>
    <row r="194" spans="1:4" ht="16.5" customHeight="1" x14ac:dyDescent="0.25">
      <c r="A194" s="49" t="s">
        <v>268</v>
      </c>
      <c r="B194" s="38"/>
      <c r="C194" s="39">
        <v>45</v>
      </c>
      <c r="D194" s="40">
        <f t="shared" si="7"/>
        <v>0</v>
      </c>
    </row>
    <row r="195" spans="1:4" ht="16.5" customHeight="1" x14ac:dyDescent="0.25">
      <c r="A195" s="49" t="s">
        <v>269</v>
      </c>
      <c r="B195" s="38"/>
      <c r="C195" s="39">
        <v>49.5</v>
      </c>
      <c r="D195" s="40">
        <f t="shared" si="7"/>
        <v>0</v>
      </c>
    </row>
    <row r="196" spans="1:4" ht="16.5" customHeight="1" x14ac:dyDescent="0.25">
      <c r="A196" s="49" t="s">
        <v>270</v>
      </c>
      <c r="B196" s="38"/>
      <c r="C196" s="39">
        <v>54</v>
      </c>
      <c r="D196" s="40">
        <f t="shared" si="7"/>
        <v>0</v>
      </c>
    </row>
    <row r="197" spans="1:4" ht="16.5" customHeight="1" x14ac:dyDescent="0.25">
      <c r="A197" s="49" t="s">
        <v>271</v>
      </c>
      <c r="B197" s="38"/>
      <c r="C197" s="39">
        <v>28.5</v>
      </c>
      <c r="D197" s="40">
        <f t="shared" si="7"/>
        <v>0</v>
      </c>
    </row>
    <row r="198" spans="1:4" ht="16.5" customHeight="1" x14ac:dyDescent="0.25">
      <c r="A198" s="49" t="s">
        <v>272</v>
      </c>
      <c r="B198" s="38"/>
      <c r="C198" s="39">
        <v>63</v>
      </c>
      <c r="D198" s="40">
        <f t="shared" si="7"/>
        <v>0</v>
      </c>
    </row>
    <row r="199" spans="1:4" ht="16.5" customHeight="1" x14ac:dyDescent="0.25">
      <c r="A199" s="49" t="s">
        <v>273</v>
      </c>
      <c r="B199" s="38"/>
      <c r="C199" s="39">
        <v>67.5</v>
      </c>
      <c r="D199" s="40">
        <f t="shared" si="7"/>
        <v>0</v>
      </c>
    </row>
    <row r="200" spans="1:4" ht="16.5" customHeight="1" x14ac:dyDescent="0.25">
      <c r="A200" s="49" t="s">
        <v>274</v>
      </c>
      <c r="B200" s="38"/>
      <c r="C200" s="39">
        <v>72</v>
      </c>
      <c r="D200" s="40">
        <f t="shared" si="7"/>
        <v>0</v>
      </c>
    </row>
    <row r="201" spans="1:4" ht="16.5" customHeight="1" x14ac:dyDescent="0.25">
      <c r="A201" s="49" t="s">
        <v>275</v>
      </c>
      <c r="B201" s="38"/>
      <c r="C201" s="39">
        <v>76.5</v>
      </c>
      <c r="D201" s="40">
        <f t="shared" si="7"/>
        <v>0</v>
      </c>
    </row>
    <row r="202" spans="1:4" ht="16.5" customHeight="1" x14ac:dyDescent="0.25">
      <c r="A202" s="49" t="s">
        <v>276</v>
      </c>
      <c r="B202" s="38"/>
      <c r="C202" s="39">
        <v>81</v>
      </c>
      <c r="D202" s="40">
        <f t="shared" si="7"/>
        <v>0</v>
      </c>
    </row>
    <row r="203" spans="1:4" ht="16.5" customHeight="1" x14ac:dyDescent="0.25">
      <c r="A203" s="49" t="s">
        <v>277</v>
      </c>
      <c r="B203" s="38"/>
      <c r="C203" s="39">
        <v>85.5</v>
      </c>
      <c r="D203" s="40">
        <f t="shared" si="7"/>
        <v>0</v>
      </c>
    </row>
    <row r="204" spans="1:4" ht="16.5" customHeight="1" x14ac:dyDescent="0.25">
      <c r="A204" s="49" t="s">
        <v>360</v>
      </c>
      <c r="B204" s="38"/>
      <c r="C204" s="51">
        <v>4</v>
      </c>
      <c r="D204" s="40">
        <f t="shared" si="7"/>
        <v>0</v>
      </c>
    </row>
    <row r="205" spans="1:4" ht="16.5" customHeight="1" x14ac:dyDescent="0.25">
      <c r="A205" s="42" t="s">
        <v>446</v>
      </c>
      <c r="B205" s="38"/>
      <c r="C205" s="43">
        <v>112</v>
      </c>
      <c r="D205" s="40">
        <f t="shared" si="7"/>
        <v>0</v>
      </c>
    </row>
    <row r="206" spans="1:4" ht="16.5" customHeight="1" x14ac:dyDescent="0.25">
      <c r="A206" s="42" t="s">
        <v>389</v>
      </c>
      <c r="B206" s="38"/>
      <c r="C206" s="43">
        <v>56</v>
      </c>
      <c r="D206" s="40">
        <f t="shared" si="7"/>
        <v>0</v>
      </c>
    </row>
    <row r="207" spans="1:4" ht="16.5" customHeight="1" x14ac:dyDescent="0.25">
      <c r="A207" s="42" t="s">
        <v>407</v>
      </c>
      <c r="B207" s="38"/>
      <c r="C207" s="43">
        <v>67.2</v>
      </c>
      <c r="D207" s="40">
        <f t="shared" ref="D207:D229" si="9">B207*C207</f>
        <v>0</v>
      </c>
    </row>
    <row r="208" spans="1:4" ht="16.5" customHeight="1" x14ac:dyDescent="0.25">
      <c r="A208" s="46" t="s">
        <v>41</v>
      </c>
      <c r="B208" s="38"/>
      <c r="C208" s="39">
        <v>0.33</v>
      </c>
      <c r="D208" s="40">
        <f>B208*C208</f>
        <v>0</v>
      </c>
    </row>
    <row r="209" spans="1:4" ht="16.5" customHeight="1" x14ac:dyDescent="0.25">
      <c r="A209" s="49" t="s">
        <v>333</v>
      </c>
      <c r="B209" s="38"/>
      <c r="C209" s="39">
        <v>0.20399999999999999</v>
      </c>
      <c r="D209" s="40">
        <f t="shared" si="9"/>
        <v>0</v>
      </c>
    </row>
    <row r="210" spans="1:4" ht="16.5" customHeight="1" x14ac:dyDescent="0.25">
      <c r="A210" s="49" t="s">
        <v>334</v>
      </c>
      <c r="B210" s="38"/>
      <c r="C210" s="51">
        <v>0.22600000000000001</v>
      </c>
      <c r="D210" s="40">
        <f t="shared" si="9"/>
        <v>0</v>
      </c>
    </row>
    <row r="211" spans="1:4" ht="16.5" customHeight="1" x14ac:dyDescent="0.25">
      <c r="A211" s="37" t="s">
        <v>217</v>
      </c>
      <c r="B211" s="38"/>
      <c r="C211" s="39">
        <v>2.9</v>
      </c>
      <c r="D211" s="40">
        <f t="shared" si="9"/>
        <v>0</v>
      </c>
    </row>
    <row r="212" spans="1:4" ht="16.5" customHeight="1" x14ac:dyDescent="0.25">
      <c r="A212" s="37" t="s">
        <v>218</v>
      </c>
      <c r="B212" s="38"/>
      <c r="C212" s="39">
        <v>4.7</v>
      </c>
      <c r="D212" s="40">
        <f>B212*C212</f>
        <v>0</v>
      </c>
    </row>
    <row r="213" spans="1:4" ht="15.75" customHeight="1" x14ac:dyDescent="0.25">
      <c r="A213" s="37" t="s">
        <v>219</v>
      </c>
      <c r="B213" s="38"/>
      <c r="C213" s="39">
        <v>5.8</v>
      </c>
      <c r="D213" s="40">
        <f t="shared" si="9"/>
        <v>0</v>
      </c>
    </row>
    <row r="214" spans="1:4" ht="16.5" customHeight="1" x14ac:dyDescent="0.25">
      <c r="A214" s="37" t="s">
        <v>285</v>
      </c>
      <c r="B214" s="38"/>
      <c r="C214" s="39">
        <v>9.5</v>
      </c>
      <c r="D214" s="40">
        <f t="shared" si="9"/>
        <v>0</v>
      </c>
    </row>
    <row r="215" spans="1:4" ht="16.5" customHeight="1" x14ac:dyDescent="0.25">
      <c r="A215" s="49" t="s">
        <v>355</v>
      </c>
      <c r="B215" s="38"/>
      <c r="C215" s="39">
        <v>7</v>
      </c>
      <c r="D215" s="40">
        <f t="shared" si="9"/>
        <v>0</v>
      </c>
    </row>
    <row r="216" spans="1:4" ht="16.5" customHeight="1" x14ac:dyDescent="0.25">
      <c r="A216" s="49" t="s">
        <v>457</v>
      </c>
      <c r="B216" s="38"/>
      <c r="C216" s="39">
        <v>4.5</v>
      </c>
      <c r="D216" s="40">
        <f t="shared" si="9"/>
        <v>0</v>
      </c>
    </row>
    <row r="217" spans="1:4" ht="16.5" customHeight="1" x14ac:dyDescent="0.25">
      <c r="A217" s="37" t="s">
        <v>480</v>
      </c>
      <c r="B217" s="38"/>
      <c r="C217" s="39">
        <v>22</v>
      </c>
      <c r="D217" s="40">
        <f t="shared" si="9"/>
        <v>0</v>
      </c>
    </row>
    <row r="218" spans="1:4" ht="16.5" customHeight="1" x14ac:dyDescent="0.25">
      <c r="A218" s="42" t="s">
        <v>344</v>
      </c>
      <c r="B218" s="38"/>
      <c r="C218" s="43">
        <v>1</v>
      </c>
      <c r="D218" s="40">
        <f t="shared" si="9"/>
        <v>0</v>
      </c>
    </row>
    <row r="219" spans="1:4" ht="16.5" customHeight="1" x14ac:dyDescent="0.25">
      <c r="A219" s="49" t="s">
        <v>246</v>
      </c>
      <c r="B219" s="38"/>
      <c r="C219" s="39">
        <v>18.5</v>
      </c>
      <c r="D219" s="40">
        <f t="shared" si="9"/>
        <v>0</v>
      </c>
    </row>
    <row r="220" spans="1:4" ht="16.5" customHeight="1" x14ac:dyDescent="0.25">
      <c r="A220" s="49" t="s">
        <v>337</v>
      </c>
      <c r="B220" s="38"/>
      <c r="C220" s="39">
        <v>11.5</v>
      </c>
      <c r="D220" s="40">
        <f t="shared" si="9"/>
        <v>0</v>
      </c>
    </row>
    <row r="221" spans="1:4" ht="16.5" customHeight="1" x14ac:dyDescent="0.25">
      <c r="A221" s="46" t="s">
        <v>50</v>
      </c>
      <c r="B221" s="38"/>
      <c r="C221" s="39">
        <v>0.09</v>
      </c>
      <c r="D221" s="40">
        <f t="shared" si="9"/>
        <v>0</v>
      </c>
    </row>
    <row r="222" spans="1:4" ht="16.5" customHeight="1" x14ac:dyDescent="0.25">
      <c r="A222" s="42" t="s">
        <v>291</v>
      </c>
      <c r="B222" s="38"/>
      <c r="C222" s="43">
        <f>340</f>
        <v>340</v>
      </c>
      <c r="D222" s="40">
        <f t="shared" si="9"/>
        <v>0</v>
      </c>
    </row>
    <row r="223" spans="1:4" ht="16.5" customHeight="1" x14ac:dyDescent="0.25">
      <c r="A223" s="42" t="s">
        <v>475</v>
      </c>
      <c r="B223" s="38"/>
      <c r="C223" s="43">
        <v>2.1</v>
      </c>
      <c r="D223" s="40">
        <f t="shared" si="9"/>
        <v>0</v>
      </c>
    </row>
    <row r="224" spans="1:4" ht="16.5" customHeight="1" x14ac:dyDescent="0.25">
      <c r="A224" s="42" t="s">
        <v>474</v>
      </c>
      <c r="B224" s="38"/>
      <c r="C224" s="43">
        <v>2.7</v>
      </c>
      <c r="D224" s="40">
        <f t="shared" si="9"/>
        <v>0</v>
      </c>
    </row>
    <row r="225" spans="1:4" ht="16.5" customHeight="1" x14ac:dyDescent="0.25">
      <c r="A225" s="42" t="s">
        <v>459</v>
      </c>
      <c r="B225" s="38"/>
      <c r="C225" s="43">
        <v>3</v>
      </c>
      <c r="D225" s="40">
        <f t="shared" si="9"/>
        <v>0</v>
      </c>
    </row>
    <row r="226" spans="1:4" ht="16.5" customHeight="1" x14ac:dyDescent="0.25">
      <c r="A226" s="42" t="s">
        <v>460</v>
      </c>
      <c r="B226" s="38"/>
      <c r="C226" s="43">
        <v>5</v>
      </c>
      <c r="D226" s="40">
        <f t="shared" si="9"/>
        <v>0</v>
      </c>
    </row>
    <row r="227" spans="1:4" ht="16.5" customHeight="1" x14ac:dyDescent="0.25">
      <c r="A227" s="42" t="s">
        <v>471</v>
      </c>
      <c r="B227" s="38"/>
      <c r="C227" s="43">
        <v>6.6</v>
      </c>
      <c r="D227" s="40">
        <f t="shared" si="9"/>
        <v>0</v>
      </c>
    </row>
    <row r="228" spans="1:4" ht="16.5" customHeight="1" x14ac:dyDescent="0.25">
      <c r="A228" s="42" t="s">
        <v>472</v>
      </c>
      <c r="B228" s="38"/>
      <c r="C228" s="43">
        <v>7</v>
      </c>
      <c r="D228" s="40">
        <f t="shared" si="9"/>
        <v>0</v>
      </c>
    </row>
    <row r="229" spans="1:4" ht="16.5" customHeight="1" x14ac:dyDescent="0.25">
      <c r="A229" s="42" t="s">
        <v>473</v>
      </c>
      <c r="B229" s="38"/>
      <c r="C229" s="43">
        <v>7.8</v>
      </c>
      <c r="D229" s="40">
        <f t="shared" si="9"/>
        <v>0</v>
      </c>
    </row>
    <row r="230" spans="1:4" ht="16.5" customHeight="1" x14ac:dyDescent="0.25">
      <c r="A230" s="42" t="s">
        <v>362</v>
      </c>
      <c r="B230" s="38"/>
      <c r="C230" s="43">
        <v>40.4</v>
      </c>
      <c r="D230" s="40">
        <f>B230*C230</f>
        <v>0</v>
      </c>
    </row>
    <row r="231" spans="1:4" ht="16.5" customHeight="1" x14ac:dyDescent="0.25">
      <c r="A231" s="42" t="s">
        <v>364</v>
      </c>
      <c r="B231" s="38"/>
      <c r="C231" s="43">
        <v>25.8</v>
      </c>
      <c r="D231" s="40">
        <f t="shared" ref="D231:D271" si="10">B231*C231</f>
        <v>0</v>
      </c>
    </row>
    <row r="232" spans="1:4" ht="16.5" customHeight="1" x14ac:dyDescent="0.25">
      <c r="A232" s="49" t="s">
        <v>289</v>
      </c>
      <c r="B232" s="38"/>
      <c r="C232" s="39">
        <v>16</v>
      </c>
      <c r="D232" s="40">
        <f t="shared" si="10"/>
        <v>0</v>
      </c>
    </row>
    <row r="233" spans="1:4" ht="16.5" customHeight="1" x14ac:dyDescent="0.25">
      <c r="A233" s="42" t="s">
        <v>401</v>
      </c>
      <c r="B233" s="38"/>
      <c r="C233" s="43">
        <v>0.7</v>
      </c>
      <c r="D233" s="40">
        <f t="shared" si="10"/>
        <v>0</v>
      </c>
    </row>
    <row r="234" spans="1:4" ht="16.5" customHeight="1" x14ac:dyDescent="0.25">
      <c r="A234" s="42" t="s">
        <v>508</v>
      </c>
      <c r="B234" s="38"/>
      <c r="C234" s="44">
        <v>6.4</v>
      </c>
      <c r="D234" s="40">
        <f t="shared" si="10"/>
        <v>0</v>
      </c>
    </row>
    <row r="235" spans="1:4" ht="16.5" customHeight="1" x14ac:dyDescent="0.25">
      <c r="A235" s="42" t="s">
        <v>503</v>
      </c>
      <c r="B235" s="38"/>
      <c r="C235" s="43">
        <v>1.9</v>
      </c>
      <c r="D235" s="40">
        <f t="shared" si="10"/>
        <v>0</v>
      </c>
    </row>
    <row r="236" spans="1:4" ht="16.5" customHeight="1" x14ac:dyDescent="0.25">
      <c r="A236" s="42" t="s">
        <v>234</v>
      </c>
      <c r="B236" s="38"/>
      <c r="C236" s="44">
        <v>6.4</v>
      </c>
      <c r="D236" s="40">
        <f t="shared" si="10"/>
        <v>0</v>
      </c>
    </row>
    <row r="237" spans="1:4" ht="16.5" customHeight="1" x14ac:dyDescent="0.25">
      <c r="A237" s="42" t="s">
        <v>236</v>
      </c>
      <c r="B237" s="38"/>
      <c r="C237" s="44">
        <v>22.5</v>
      </c>
      <c r="D237" s="40">
        <f>B237*C237</f>
        <v>0</v>
      </c>
    </row>
    <row r="238" spans="1:4" ht="16.5" customHeight="1" x14ac:dyDescent="0.25">
      <c r="A238" s="42" t="s">
        <v>235</v>
      </c>
      <c r="B238" s="38"/>
      <c r="C238" s="44">
        <v>15</v>
      </c>
      <c r="D238" s="40">
        <f>B238*C238</f>
        <v>0</v>
      </c>
    </row>
    <row r="239" spans="1:4" ht="16.5" customHeight="1" x14ac:dyDescent="0.25">
      <c r="A239" s="42" t="s">
        <v>237</v>
      </c>
      <c r="B239" s="38"/>
      <c r="C239" s="44">
        <v>29.5</v>
      </c>
      <c r="D239" s="40">
        <f t="shared" si="10"/>
        <v>0</v>
      </c>
    </row>
    <row r="240" spans="1:4" ht="16.5" customHeight="1" x14ac:dyDescent="0.25">
      <c r="A240" s="42" t="s">
        <v>338</v>
      </c>
      <c r="B240" s="38"/>
      <c r="C240" s="43">
        <v>0.05</v>
      </c>
      <c r="D240" s="40">
        <f>B240*C240</f>
        <v>0</v>
      </c>
    </row>
    <row r="241" spans="1:4" ht="16.5" customHeight="1" x14ac:dyDescent="0.25">
      <c r="A241" s="46" t="s">
        <v>298</v>
      </c>
      <c r="B241" s="50"/>
      <c r="C241" s="39">
        <v>4</v>
      </c>
      <c r="D241" s="40">
        <f t="shared" si="10"/>
        <v>0</v>
      </c>
    </row>
    <row r="242" spans="1:4" ht="16.5" customHeight="1" x14ac:dyDescent="0.25">
      <c r="A242" s="49" t="s">
        <v>54</v>
      </c>
      <c r="B242" s="38"/>
      <c r="C242" s="39">
        <v>0.4</v>
      </c>
      <c r="D242" s="40">
        <f t="shared" si="10"/>
        <v>0</v>
      </c>
    </row>
    <row r="243" spans="1:4" ht="16.5" customHeight="1" x14ac:dyDescent="0.25">
      <c r="A243" s="37" t="s">
        <v>233</v>
      </c>
      <c r="B243" s="38"/>
      <c r="C243" s="39">
        <v>0.05</v>
      </c>
      <c r="D243" s="40">
        <f t="shared" si="10"/>
        <v>0</v>
      </c>
    </row>
    <row r="244" spans="1:4" ht="16.5" customHeight="1" x14ac:dyDescent="0.25">
      <c r="A244" s="37" t="s">
        <v>348</v>
      </c>
      <c r="B244" s="38"/>
      <c r="C244" s="39">
        <v>7.0000000000000007E-2</v>
      </c>
      <c r="D244" s="40">
        <f>B244*C244</f>
        <v>0</v>
      </c>
    </row>
    <row r="245" spans="1:4" ht="16.5" customHeight="1" x14ac:dyDescent="0.25">
      <c r="A245" s="37" t="s">
        <v>449</v>
      </c>
      <c r="B245" s="38"/>
      <c r="C245" s="39">
        <v>4.9766000000000004</v>
      </c>
      <c r="D245" s="40">
        <f t="shared" si="10"/>
        <v>0</v>
      </c>
    </row>
    <row r="246" spans="1:4" ht="16.5" customHeight="1" x14ac:dyDescent="0.25">
      <c r="A246" s="37" t="s">
        <v>448</v>
      </c>
      <c r="B246" s="38"/>
      <c r="C246" s="39">
        <v>7.4649999999999999</v>
      </c>
      <c r="D246" s="40">
        <f t="shared" si="10"/>
        <v>0</v>
      </c>
    </row>
    <row r="247" spans="1:4" ht="16.5" customHeight="1" x14ac:dyDescent="0.25">
      <c r="A247" s="37" t="s">
        <v>224</v>
      </c>
      <c r="B247" s="38"/>
      <c r="C247" s="39">
        <v>14.93</v>
      </c>
      <c r="D247" s="40">
        <f t="shared" si="10"/>
        <v>0</v>
      </c>
    </row>
    <row r="248" spans="1:4" ht="16.5" customHeight="1" x14ac:dyDescent="0.25">
      <c r="A248" s="37" t="s">
        <v>371</v>
      </c>
      <c r="B248" s="38"/>
      <c r="C248" s="39">
        <v>32</v>
      </c>
      <c r="D248" s="40">
        <f t="shared" si="10"/>
        <v>0</v>
      </c>
    </row>
    <row r="249" spans="1:4" ht="16.5" customHeight="1" x14ac:dyDescent="0.25">
      <c r="A249" s="37" t="s">
        <v>442</v>
      </c>
      <c r="B249" s="38"/>
      <c r="C249" s="39">
        <v>10.785600000000001</v>
      </c>
      <c r="D249" s="40">
        <f t="shared" si="10"/>
        <v>0</v>
      </c>
    </row>
    <row r="250" spans="1:4" ht="16.5" customHeight="1" x14ac:dyDescent="0.25">
      <c r="A250" s="37" t="s">
        <v>343</v>
      </c>
      <c r="B250" s="38"/>
      <c r="C250" s="39">
        <v>14.66</v>
      </c>
      <c r="D250" s="40">
        <f t="shared" si="10"/>
        <v>0</v>
      </c>
    </row>
    <row r="251" spans="1:4" ht="16.5" customHeight="1" x14ac:dyDescent="0.25">
      <c r="A251" s="37" t="s">
        <v>417</v>
      </c>
      <c r="B251" s="38"/>
      <c r="C251" s="39">
        <v>20.94</v>
      </c>
      <c r="D251" s="40">
        <f t="shared" si="10"/>
        <v>0</v>
      </c>
    </row>
    <row r="252" spans="1:4" ht="16.5" customHeight="1" x14ac:dyDescent="0.25">
      <c r="A252" s="37" t="s">
        <v>367</v>
      </c>
      <c r="B252" s="38"/>
      <c r="C252" s="39">
        <v>42.667000000000002</v>
      </c>
      <c r="D252" s="40">
        <f t="shared" si="10"/>
        <v>0</v>
      </c>
    </row>
    <row r="253" spans="1:4" ht="16.5" customHeight="1" x14ac:dyDescent="0.25">
      <c r="A253" s="37" t="s">
        <v>403</v>
      </c>
      <c r="B253" s="38"/>
      <c r="C253" s="39">
        <v>8.89</v>
      </c>
      <c r="D253" s="40">
        <f t="shared" si="10"/>
        <v>0</v>
      </c>
    </row>
    <row r="254" spans="1:4" ht="16.5" customHeight="1" x14ac:dyDescent="0.25">
      <c r="A254" s="37" t="s">
        <v>447</v>
      </c>
      <c r="B254" s="38"/>
      <c r="C254" s="39">
        <v>12.446</v>
      </c>
      <c r="D254" s="40">
        <f t="shared" si="10"/>
        <v>0</v>
      </c>
    </row>
    <row r="255" spans="1:4" ht="16.5" customHeight="1" x14ac:dyDescent="0.25">
      <c r="A255" s="37" t="s">
        <v>441</v>
      </c>
      <c r="B255" s="38"/>
      <c r="C255" s="39">
        <v>12.5412</v>
      </c>
      <c r="D255" s="40">
        <f t="shared" si="10"/>
        <v>0</v>
      </c>
    </row>
    <row r="256" spans="1:4" ht="16.5" customHeight="1" x14ac:dyDescent="0.25">
      <c r="A256" s="37" t="s">
        <v>464</v>
      </c>
      <c r="B256" s="38"/>
      <c r="C256" s="39">
        <v>22.9922</v>
      </c>
      <c r="D256" s="40">
        <f t="shared" si="10"/>
        <v>0</v>
      </c>
    </row>
    <row r="257" spans="1:4" ht="16.5" customHeight="1" x14ac:dyDescent="0.25">
      <c r="A257" s="37" t="s">
        <v>225</v>
      </c>
      <c r="B257" s="38"/>
      <c r="C257" s="39">
        <v>29.86</v>
      </c>
      <c r="D257" s="40">
        <f t="shared" si="10"/>
        <v>0</v>
      </c>
    </row>
    <row r="258" spans="1:4" ht="16.5" customHeight="1" x14ac:dyDescent="0.25">
      <c r="A258" s="37" t="s">
        <v>477</v>
      </c>
      <c r="B258" s="38"/>
      <c r="C258" s="39">
        <v>42.66</v>
      </c>
      <c r="D258" s="40">
        <f t="shared" si="10"/>
        <v>0</v>
      </c>
    </row>
    <row r="259" spans="1:4" ht="16.5" customHeight="1" x14ac:dyDescent="0.25">
      <c r="A259" s="37" t="s">
        <v>465</v>
      </c>
      <c r="B259" s="38"/>
      <c r="C259" s="39">
        <v>53.33</v>
      </c>
      <c r="D259" s="40">
        <f t="shared" si="10"/>
        <v>0</v>
      </c>
    </row>
    <row r="260" spans="1:4" ht="16.5" customHeight="1" x14ac:dyDescent="0.25">
      <c r="A260" s="37" t="s">
        <v>476</v>
      </c>
      <c r="B260" s="38"/>
      <c r="C260" s="39">
        <v>64</v>
      </c>
      <c r="D260" s="40">
        <f t="shared" si="10"/>
        <v>0</v>
      </c>
    </row>
    <row r="261" spans="1:4" ht="16.5" customHeight="1" x14ac:dyDescent="0.25">
      <c r="A261" s="37" t="s">
        <v>467</v>
      </c>
      <c r="B261" s="38"/>
      <c r="C261" s="39">
        <v>23.28</v>
      </c>
      <c r="D261" s="40">
        <f t="shared" si="10"/>
        <v>0</v>
      </c>
    </row>
    <row r="262" spans="1:4" ht="16.5" customHeight="1" x14ac:dyDescent="0.25">
      <c r="A262" s="49" t="s">
        <v>373</v>
      </c>
      <c r="B262" s="38"/>
      <c r="C262" s="51">
        <v>0.5</v>
      </c>
      <c r="D262" s="40">
        <f t="shared" si="10"/>
        <v>0</v>
      </c>
    </row>
    <row r="263" spans="1:4" ht="16.5" customHeight="1" x14ac:dyDescent="0.25">
      <c r="A263" s="42" t="s">
        <v>245</v>
      </c>
      <c r="B263" s="38"/>
      <c r="C263" s="43">
        <v>216</v>
      </c>
      <c r="D263" s="40">
        <f t="shared" si="10"/>
        <v>0</v>
      </c>
    </row>
    <row r="264" spans="1:4" ht="16.5" customHeight="1" x14ac:dyDescent="0.25">
      <c r="A264" s="49" t="s">
        <v>352</v>
      </c>
      <c r="B264" s="38"/>
      <c r="C264" s="39">
        <v>8.25</v>
      </c>
      <c r="D264" s="40">
        <f t="shared" si="10"/>
        <v>0</v>
      </c>
    </row>
    <row r="265" spans="1:4" ht="16.5" customHeight="1" x14ac:dyDescent="0.25">
      <c r="A265" s="49" t="s">
        <v>385</v>
      </c>
      <c r="B265" s="38"/>
      <c r="C265" s="39">
        <v>16.5</v>
      </c>
      <c r="D265" s="40">
        <f t="shared" si="10"/>
        <v>0</v>
      </c>
    </row>
    <row r="266" spans="1:4" ht="16.5" customHeight="1" x14ac:dyDescent="0.25">
      <c r="A266" s="49" t="s">
        <v>247</v>
      </c>
      <c r="B266" s="38"/>
      <c r="C266" s="39">
        <v>33</v>
      </c>
      <c r="D266" s="40">
        <f t="shared" si="10"/>
        <v>0</v>
      </c>
    </row>
    <row r="267" spans="1:4" ht="16.5" customHeight="1" x14ac:dyDescent="0.25">
      <c r="A267" s="42" t="s">
        <v>365</v>
      </c>
      <c r="B267" s="38"/>
      <c r="C267" s="43">
        <v>120</v>
      </c>
      <c r="D267" s="40">
        <f t="shared" si="10"/>
        <v>0</v>
      </c>
    </row>
    <row r="268" spans="1:4" ht="16.5" customHeight="1" x14ac:dyDescent="0.25">
      <c r="A268" s="42" t="s">
        <v>366</v>
      </c>
      <c r="B268" s="38"/>
      <c r="C268" s="43">
        <v>90</v>
      </c>
      <c r="D268" s="40">
        <f t="shared" si="10"/>
        <v>0</v>
      </c>
    </row>
    <row r="269" spans="1:4" ht="16.5" customHeight="1" x14ac:dyDescent="0.25">
      <c r="A269" s="49" t="s">
        <v>359</v>
      </c>
      <c r="B269" s="38"/>
      <c r="C269" s="51">
        <v>3</v>
      </c>
      <c r="D269" s="40">
        <f t="shared" si="10"/>
        <v>0</v>
      </c>
    </row>
    <row r="270" spans="1:4" ht="16.5" customHeight="1" x14ac:dyDescent="0.25">
      <c r="A270" s="46" t="s">
        <v>349</v>
      </c>
      <c r="B270" s="38"/>
      <c r="C270" s="43">
        <v>2.66</v>
      </c>
      <c r="D270" s="40">
        <f t="shared" si="10"/>
        <v>0</v>
      </c>
    </row>
    <row r="271" spans="1:4" ht="16.5" customHeight="1" x14ac:dyDescent="0.25">
      <c r="A271" s="46" t="s">
        <v>73</v>
      </c>
      <c r="B271" s="38"/>
      <c r="C271" s="43">
        <v>5.33</v>
      </c>
      <c r="D271" s="40">
        <f t="shared" si="10"/>
        <v>0</v>
      </c>
    </row>
    <row r="272" spans="1:4" ht="16.5" customHeight="1" x14ac:dyDescent="0.25">
      <c r="A272" s="46" t="s">
        <v>351</v>
      </c>
      <c r="B272" s="38"/>
      <c r="C272" s="43">
        <v>6.4</v>
      </c>
      <c r="D272" s="40">
        <f>B272*C272</f>
        <v>0</v>
      </c>
    </row>
    <row r="273" spans="1:4" ht="16.5" customHeight="1" x14ac:dyDescent="0.25">
      <c r="A273" s="46" t="s">
        <v>350</v>
      </c>
      <c r="B273" s="38"/>
      <c r="C273" s="43">
        <v>7.68</v>
      </c>
      <c r="D273" s="40">
        <f t="shared" ref="D273:D298" si="11">B273*C273</f>
        <v>0</v>
      </c>
    </row>
    <row r="274" spans="1:4" ht="16.5" customHeight="1" x14ac:dyDescent="0.25">
      <c r="A274" s="46" t="s">
        <v>72</v>
      </c>
      <c r="B274" s="38"/>
      <c r="C274" s="43">
        <v>6</v>
      </c>
      <c r="D274" s="40">
        <f t="shared" si="11"/>
        <v>0</v>
      </c>
    </row>
    <row r="275" spans="1:4" ht="16.5" customHeight="1" x14ac:dyDescent="0.25">
      <c r="A275" s="46" t="s">
        <v>494</v>
      </c>
      <c r="B275" s="38"/>
      <c r="C275" s="43">
        <v>6.4</v>
      </c>
      <c r="D275" s="40">
        <f t="shared" si="11"/>
        <v>0</v>
      </c>
    </row>
    <row r="276" spans="1:4" ht="16.5" customHeight="1" x14ac:dyDescent="0.25">
      <c r="A276" s="46" t="s">
        <v>497</v>
      </c>
      <c r="B276" s="38"/>
      <c r="C276" s="43">
        <v>6.5</v>
      </c>
      <c r="D276" s="40">
        <f t="shared" si="11"/>
        <v>0</v>
      </c>
    </row>
    <row r="277" spans="1:4" ht="16.5" customHeight="1" x14ac:dyDescent="0.25">
      <c r="A277" s="46" t="s">
        <v>498</v>
      </c>
      <c r="B277" s="38"/>
      <c r="C277" s="43">
        <v>6.6</v>
      </c>
      <c r="D277" s="40">
        <f t="shared" si="11"/>
        <v>0</v>
      </c>
    </row>
    <row r="278" spans="1:4" ht="16.5" customHeight="1" x14ac:dyDescent="0.25">
      <c r="A278" s="46" t="s">
        <v>496</v>
      </c>
      <c r="B278" s="38"/>
      <c r="C278" s="43">
        <v>7</v>
      </c>
      <c r="D278" s="40">
        <f t="shared" si="11"/>
        <v>0</v>
      </c>
    </row>
    <row r="279" spans="1:4" ht="16.5" customHeight="1" x14ac:dyDescent="0.25">
      <c r="A279" s="46" t="s">
        <v>499</v>
      </c>
      <c r="B279" s="38"/>
      <c r="C279" s="43">
        <v>7.4</v>
      </c>
      <c r="D279" s="40">
        <f t="shared" si="11"/>
        <v>0</v>
      </c>
    </row>
    <row r="280" spans="1:4" ht="16.5" customHeight="1" x14ac:dyDescent="0.25">
      <c r="A280" s="46" t="s">
        <v>486</v>
      </c>
      <c r="B280" s="38"/>
      <c r="C280" s="43">
        <v>7.5</v>
      </c>
      <c r="D280" s="40">
        <f t="shared" si="11"/>
        <v>0</v>
      </c>
    </row>
    <row r="281" spans="1:4" ht="16.5" customHeight="1" x14ac:dyDescent="0.25">
      <c r="A281" s="46" t="s">
        <v>489</v>
      </c>
      <c r="B281" s="38"/>
      <c r="C281" s="43">
        <v>7.6</v>
      </c>
      <c r="D281" s="40">
        <f t="shared" si="11"/>
        <v>0</v>
      </c>
    </row>
    <row r="282" spans="1:4" ht="16.5" customHeight="1" x14ac:dyDescent="0.25">
      <c r="A282" s="46" t="s">
        <v>484</v>
      </c>
      <c r="B282" s="38"/>
      <c r="C282" s="43">
        <v>7.8</v>
      </c>
      <c r="D282" s="40">
        <f t="shared" si="11"/>
        <v>0</v>
      </c>
    </row>
    <row r="283" spans="1:4" ht="16.5" customHeight="1" x14ac:dyDescent="0.25">
      <c r="A283" s="46" t="s">
        <v>482</v>
      </c>
      <c r="B283" s="38"/>
      <c r="C283" s="43">
        <v>7.9</v>
      </c>
      <c r="D283" s="40">
        <f t="shared" si="11"/>
        <v>0</v>
      </c>
    </row>
    <row r="284" spans="1:4" ht="16.5" customHeight="1" x14ac:dyDescent="0.25">
      <c r="A284" s="46" t="s">
        <v>495</v>
      </c>
      <c r="B284" s="38"/>
      <c r="C284" s="43">
        <v>8</v>
      </c>
      <c r="D284" s="40">
        <f t="shared" si="11"/>
        <v>0</v>
      </c>
    </row>
    <row r="285" spans="1:4" ht="16.5" customHeight="1" x14ac:dyDescent="0.25">
      <c r="A285" s="46" t="s">
        <v>487</v>
      </c>
      <c r="B285" s="38"/>
      <c r="C285" s="43">
        <v>8.1999999999999993</v>
      </c>
      <c r="D285" s="40">
        <f t="shared" si="11"/>
        <v>0</v>
      </c>
    </row>
    <row r="286" spans="1:4" ht="16.5" customHeight="1" x14ac:dyDescent="0.25">
      <c r="A286" s="46" t="s">
        <v>485</v>
      </c>
      <c r="B286" s="38"/>
      <c r="C286" s="43">
        <v>8.3000000000000007</v>
      </c>
      <c r="D286" s="40">
        <f t="shared" si="11"/>
        <v>0</v>
      </c>
    </row>
    <row r="287" spans="1:4" ht="16.5" customHeight="1" x14ac:dyDescent="0.25">
      <c r="A287" s="46" t="s">
        <v>493</v>
      </c>
      <c r="B287" s="38"/>
      <c r="C287" s="43">
        <v>8.9</v>
      </c>
      <c r="D287" s="40">
        <f t="shared" si="11"/>
        <v>0</v>
      </c>
    </row>
    <row r="288" spans="1:4" ht="16.5" customHeight="1" x14ac:dyDescent="0.25">
      <c r="A288" s="46" t="s">
        <v>492</v>
      </c>
      <c r="B288" s="38"/>
      <c r="C288" s="43">
        <v>9</v>
      </c>
      <c r="D288" s="40">
        <f t="shared" si="11"/>
        <v>0</v>
      </c>
    </row>
    <row r="289" spans="1:4" ht="16.5" customHeight="1" x14ac:dyDescent="0.25">
      <c r="A289" s="46" t="s">
        <v>488</v>
      </c>
      <c r="B289" s="38"/>
      <c r="C289" s="43">
        <v>9.6999999999999993</v>
      </c>
      <c r="D289" s="40">
        <f t="shared" si="11"/>
        <v>0</v>
      </c>
    </row>
    <row r="290" spans="1:4" ht="16.5" customHeight="1" x14ac:dyDescent="0.25">
      <c r="A290" s="46" t="s">
        <v>490</v>
      </c>
      <c r="B290" s="38"/>
      <c r="C290" s="43">
        <v>9.8000000000000007</v>
      </c>
      <c r="D290" s="40">
        <f t="shared" si="11"/>
        <v>0</v>
      </c>
    </row>
    <row r="291" spans="1:4" ht="16.5" customHeight="1" x14ac:dyDescent="0.25">
      <c r="A291" s="46" t="s">
        <v>491</v>
      </c>
      <c r="B291" s="38"/>
      <c r="C291" s="43">
        <v>9.9</v>
      </c>
      <c r="D291" s="40">
        <f t="shared" si="11"/>
        <v>0</v>
      </c>
    </row>
    <row r="292" spans="1:4" ht="16.5" customHeight="1" x14ac:dyDescent="0.25">
      <c r="A292" s="46" t="s">
        <v>501</v>
      </c>
      <c r="B292" s="38"/>
      <c r="C292" s="43">
        <v>10.1</v>
      </c>
      <c r="D292" s="40">
        <f t="shared" si="11"/>
        <v>0</v>
      </c>
    </row>
    <row r="293" spans="1:4" ht="16.5" customHeight="1" x14ac:dyDescent="0.25">
      <c r="A293" s="46" t="s">
        <v>500</v>
      </c>
      <c r="B293" s="38"/>
      <c r="C293" s="43">
        <v>10.4</v>
      </c>
      <c r="D293" s="40">
        <f t="shared" si="11"/>
        <v>0</v>
      </c>
    </row>
    <row r="294" spans="1:4" ht="16.5" customHeight="1" x14ac:dyDescent="0.25">
      <c r="A294" s="46" t="s">
        <v>71</v>
      </c>
      <c r="B294" s="38"/>
      <c r="C294" s="43">
        <v>12</v>
      </c>
      <c r="D294" s="40">
        <f t="shared" si="11"/>
        <v>0</v>
      </c>
    </row>
    <row r="295" spans="1:4" ht="16.5" customHeight="1" x14ac:dyDescent="0.25">
      <c r="A295" s="46" t="s">
        <v>284</v>
      </c>
      <c r="B295" s="38"/>
      <c r="C295" s="43">
        <v>21.332999999999998</v>
      </c>
      <c r="D295" s="40">
        <f t="shared" si="11"/>
        <v>0</v>
      </c>
    </row>
    <row r="296" spans="1:4" ht="16.5" customHeight="1" x14ac:dyDescent="0.25">
      <c r="A296" s="46" t="s">
        <v>514</v>
      </c>
      <c r="B296" s="38"/>
      <c r="C296" s="43">
        <v>1.87</v>
      </c>
      <c r="D296" s="40">
        <f t="shared" si="11"/>
        <v>0</v>
      </c>
    </row>
    <row r="297" spans="1:4" ht="16.5" customHeight="1" x14ac:dyDescent="0.25">
      <c r="A297" s="46" t="s">
        <v>515</v>
      </c>
      <c r="B297" s="38"/>
      <c r="C297" s="43">
        <v>3.5</v>
      </c>
      <c r="D297" s="40">
        <f t="shared" si="11"/>
        <v>0</v>
      </c>
    </row>
    <row r="298" spans="1:4" ht="16.5" customHeight="1" x14ac:dyDescent="0.25">
      <c r="A298" s="46" t="s">
        <v>519</v>
      </c>
      <c r="B298" s="38"/>
      <c r="C298" s="43">
        <v>5.34</v>
      </c>
      <c r="D298" s="40">
        <f t="shared" si="11"/>
        <v>0</v>
      </c>
    </row>
    <row r="299" spans="1:4" ht="16.5" customHeight="1" x14ac:dyDescent="0.25">
      <c r="A299" s="46" t="s">
        <v>516</v>
      </c>
      <c r="B299" s="38"/>
      <c r="C299" s="43">
        <v>7</v>
      </c>
      <c r="D299" s="40">
        <f>B299*C299</f>
        <v>0</v>
      </c>
    </row>
    <row r="300" spans="1:4" ht="16.5" customHeight="1" x14ac:dyDescent="0.25">
      <c r="A300" s="37" t="s">
        <v>231</v>
      </c>
      <c r="B300" s="38"/>
      <c r="C300" s="39">
        <v>11.5</v>
      </c>
      <c r="D300" s="40">
        <f>B300*C300</f>
        <v>0</v>
      </c>
    </row>
    <row r="301" spans="1:4" ht="16.5" customHeight="1" x14ac:dyDescent="0.25">
      <c r="A301" s="42" t="s">
        <v>292</v>
      </c>
      <c r="B301" s="38"/>
      <c r="C301" s="43">
        <v>3</v>
      </c>
      <c r="D301" s="40">
        <f>B301*C301</f>
        <v>0</v>
      </c>
    </row>
    <row r="302" spans="1:4" ht="16.5" customHeight="1" x14ac:dyDescent="0.25">
      <c r="A302" s="42" t="s">
        <v>243</v>
      </c>
      <c r="B302" s="38"/>
      <c r="C302" s="43">
        <v>0.9</v>
      </c>
      <c r="D302" s="40">
        <f t="shared" ref="D302:D333" si="12">B302*C302</f>
        <v>0</v>
      </c>
    </row>
    <row r="303" spans="1:4" ht="16.5" customHeight="1" x14ac:dyDescent="0.25">
      <c r="A303" s="46" t="s">
        <v>51</v>
      </c>
      <c r="B303" s="50"/>
      <c r="C303" s="39">
        <v>3</v>
      </c>
      <c r="D303" s="40">
        <f t="shared" si="12"/>
        <v>0</v>
      </c>
    </row>
    <row r="304" spans="1:4" ht="16.5" customHeight="1" x14ac:dyDescent="0.25">
      <c r="A304" s="49" t="s">
        <v>56</v>
      </c>
      <c r="B304" s="38"/>
      <c r="C304" s="39">
        <v>3</v>
      </c>
      <c r="D304" s="40">
        <f t="shared" si="12"/>
        <v>0</v>
      </c>
    </row>
    <row r="305" spans="1:4" ht="16.5" customHeight="1" x14ac:dyDescent="0.25">
      <c r="A305" s="49" t="s">
        <v>290</v>
      </c>
      <c r="B305" s="50"/>
      <c r="C305" s="39">
        <v>7.0000000000000007E-2</v>
      </c>
      <c r="D305" s="40">
        <f t="shared" si="12"/>
        <v>0</v>
      </c>
    </row>
    <row r="306" spans="1:4" ht="16.5" customHeight="1" x14ac:dyDescent="0.25">
      <c r="A306" s="49" t="s">
        <v>358</v>
      </c>
      <c r="B306" s="38"/>
      <c r="C306" s="51">
        <v>1</v>
      </c>
      <c r="D306" s="40">
        <f t="shared" si="12"/>
        <v>0</v>
      </c>
    </row>
    <row r="307" spans="1:4" ht="16.5" customHeight="1" x14ac:dyDescent="0.25">
      <c r="A307" s="37" t="s">
        <v>182</v>
      </c>
      <c r="B307" s="38"/>
      <c r="C307" s="39">
        <v>2.8333333333333299</v>
      </c>
      <c r="D307" s="40">
        <f t="shared" si="12"/>
        <v>0</v>
      </c>
    </row>
    <row r="308" spans="1:4" ht="16.5" customHeight="1" x14ac:dyDescent="0.25">
      <c r="A308" s="37" t="s">
        <v>181</v>
      </c>
      <c r="B308" s="38"/>
      <c r="C308" s="39">
        <v>3.116666666666664</v>
      </c>
      <c r="D308" s="40">
        <f t="shared" si="12"/>
        <v>0</v>
      </c>
    </row>
    <row r="309" spans="1:4" ht="16.5" customHeight="1" x14ac:dyDescent="0.25">
      <c r="A309" s="37" t="s">
        <v>180</v>
      </c>
      <c r="B309" s="38"/>
      <c r="C309" s="39">
        <v>34</v>
      </c>
      <c r="D309" s="40">
        <f t="shared" si="12"/>
        <v>0</v>
      </c>
    </row>
    <row r="310" spans="1:4" ht="16.5" customHeight="1" x14ac:dyDescent="0.25">
      <c r="A310" s="37" t="s">
        <v>179</v>
      </c>
      <c r="B310" s="38"/>
      <c r="C310" s="39">
        <v>3.6833333333333313</v>
      </c>
      <c r="D310" s="40">
        <f t="shared" si="12"/>
        <v>0</v>
      </c>
    </row>
    <row r="311" spans="1:4" ht="16.5" customHeight="1" x14ac:dyDescent="0.25">
      <c r="A311" s="37" t="s">
        <v>177</v>
      </c>
      <c r="B311" s="38"/>
      <c r="C311" s="39">
        <v>3.9666666666666703</v>
      </c>
      <c r="D311" s="40">
        <f t="shared" si="12"/>
        <v>0</v>
      </c>
    </row>
    <row r="312" spans="1:4" ht="16.5" customHeight="1" x14ac:dyDescent="0.25">
      <c r="A312" s="37" t="s">
        <v>176</v>
      </c>
      <c r="B312" s="38"/>
      <c r="C312" s="39">
        <v>4.2500000000000036</v>
      </c>
      <c r="D312" s="40">
        <f t="shared" si="12"/>
        <v>0</v>
      </c>
    </row>
    <row r="313" spans="1:4" ht="16.5" customHeight="1" x14ac:dyDescent="0.25">
      <c r="A313" s="37" t="s">
        <v>175</v>
      </c>
      <c r="B313" s="38"/>
      <c r="C313" s="39">
        <v>4.5333333333333377</v>
      </c>
      <c r="D313" s="40">
        <f t="shared" si="12"/>
        <v>0</v>
      </c>
    </row>
    <row r="314" spans="1:4" ht="16.5" customHeight="1" x14ac:dyDescent="0.25">
      <c r="A314" s="37" t="s">
        <v>178</v>
      </c>
      <c r="B314" s="38"/>
      <c r="C314" s="39">
        <v>4.8166666666666718</v>
      </c>
      <c r="D314" s="40">
        <f t="shared" si="12"/>
        <v>0</v>
      </c>
    </row>
    <row r="315" spans="1:4" ht="16.5" customHeight="1" x14ac:dyDescent="0.25">
      <c r="A315" s="37" t="s">
        <v>174</v>
      </c>
      <c r="B315" s="38"/>
      <c r="C315" s="39">
        <v>5.100000000000005</v>
      </c>
      <c r="D315" s="40">
        <f t="shared" si="12"/>
        <v>0</v>
      </c>
    </row>
    <row r="316" spans="1:4" ht="16.5" customHeight="1" x14ac:dyDescent="0.25">
      <c r="A316" s="37" t="s">
        <v>173</v>
      </c>
      <c r="B316" s="38"/>
      <c r="C316" s="39">
        <v>5.3833333333333382</v>
      </c>
      <c r="D316" s="40">
        <f t="shared" si="12"/>
        <v>0</v>
      </c>
    </row>
    <row r="317" spans="1:4" ht="16.5" customHeight="1" x14ac:dyDescent="0.25">
      <c r="A317" s="37" t="s">
        <v>172</v>
      </c>
      <c r="B317" s="38"/>
      <c r="C317" s="39">
        <v>5.6666666666666723</v>
      </c>
      <c r="D317" s="40">
        <f t="shared" si="12"/>
        <v>0</v>
      </c>
    </row>
    <row r="318" spans="1:4" ht="16.5" customHeight="1" x14ac:dyDescent="0.25">
      <c r="A318" s="37" t="s">
        <v>171</v>
      </c>
      <c r="B318" s="38"/>
      <c r="C318" s="39">
        <v>5.9500000000000064</v>
      </c>
      <c r="D318" s="40">
        <f t="shared" si="12"/>
        <v>0</v>
      </c>
    </row>
    <row r="319" spans="1:4" ht="16.5" customHeight="1" x14ac:dyDescent="0.25">
      <c r="A319" s="37" t="s">
        <v>170</v>
      </c>
      <c r="B319" s="38"/>
      <c r="C319" s="39">
        <v>6.2333333333333405</v>
      </c>
      <c r="D319" s="40">
        <f t="shared" si="12"/>
        <v>0</v>
      </c>
    </row>
    <row r="320" spans="1:4" ht="16.5" customHeight="1" x14ac:dyDescent="0.25">
      <c r="A320" s="37" t="s">
        <v>169</v>
      </c>
      <c r="B320" s="38"/>
      <c r="C320" s="39">
        <v>6.5166666666666746</v>
      </c>
      <c r="D320" s="40">
        <f t="shared" si="12"/>
        <v>0</v>
      </c>
    </row>
    <row r="321" spans="1:5" ht="16.5" customHeight="1" x14ac:dyDescent="0.25">
      <c r="A321" s="37" t="s">
        <v>168</v>
      </c>
      <c r="B321" s="38"/>
      <c r="C321" s="39">
        <v>6.8000000000000078</v>
      </c>
      <c r="D321" s="40">
        <f t="shared" si="12"/>
        <v>0</v>
      </c>
    </row>
    <row r="322" spans="1:5" ht="16.5" customHeight="1" x14ac:dyDescent="0.25">
      <c r="A322" s="37" t="s">
        <v>166</v>
      </c>
      <c r="B322" s="38"/>
      <c r="C322" s="39">
        <v>7.0833333333333419</v>
      </c>
      <c r="D322" s="40">
        <f t="shared" si="12"/>
        <v>0</v>
      </c>
    </row>
    <row r="323" spans="1:5" ht="16.5" customHeight="1" x14ac:dyDescent="0.25">
      <c r="A323" s="37" t="s">
        <v>167</v>
      </c>
      <c r="B323" s="38"/>
      <c r="C323" s="39">
        <v>7.3666666666666751</v>
      </c>
      <c r="D323" s="40">
        <f t="shared" si="12"/>
        <v>0</v>
      </c>
    </row>
    <row r="324" spans="1:5" ht="16.5" customHeight="1" x14ac:dyDescent="0.25">
      <c r="A324" s="37" t="s">
        <v>165</v>
      </c>
      <c r="B324" s="38"/>
      <c r="C324" s="39">
        <v>7.6500000000000092</v>
      </c>
      <c r="D324" s="40">
        <f t="shared" si="12"/>
        <v>0</v>
      </c>
    </row>
    <row r="325" spans="1:5" ht="16.5" customHeight="1" x14ac:dyDescent="0.25">
      <c r="A325" s="37" t="s">
        <v>164</v>
      </c>
      <c r="B325" s="38"/>
      <c r="C325" s="39">
        <v>7.9333333333333433</v>
      </c>
      <c r="D325" s="40">
        <f t="shared" si="12"/>
        <v>0</v>
      </c>
    </row>
    <row r="326" spans="1:5" ht="16.5" customHeight="1" x14ac:dyDescent="0.25">
      <c r="A326" s="37" t="s">
        <v>163</v>
      </c>
      <c r="B326" s="38"/>
      <c r="C326" s="39">
        <v>8.2166666666666757</v>
      </c>
      <c r="D326" s="40">
        <f t="shared" si="12"/>
        <v>0</v>
      </c>
      <c r="E326" s="48"/>
    </row>
    <row r="327" spans="1:5" ht="16.5" customHeight="1" x14ac:dyDescent="0.25">
      <c r="A327" s="37" t="s">
        <v>162</v>
      </c>
      <c r="B327" s="38"/>
      <c r="C327" s="39">
        <v>8.5000000000000089</v>
      </c>
      <c r="D327" s="40">
        <f>B327*C327</f>
        <v>0</v>
      </c>
      <c r="E327" s="48"/>
    </row>
    <row r="328" spans="1:5" ht="16.5" customHeight="1" x14ac:dyDescent="0.25">
      <c r="A328" s="37" t="s">
        <v>398</v>
      </c>
      <c r="B328" s="38"/>
      <c r="C328" s="39">
        <v>17</v>
      </c>
      <c r="D328" s="40">
        <f t="shared" si="12"/>
        <v>0</v>
      </c>
      <c r="E328" s="48"/>
    </row>
    <row r="329" spans="1:5" ht="16.5" customHeight="1" x14ac:dyDescent="0.25">
      <c r="A329" s="37" t="s">
        <v>161</v>
      </c>
      <c r="B329" s="38"/>
      <c r="C329" s="39">
        <v>8.7833333333333421</v>
      </c>
      <c r="D329" s="40">
        <f t="shared" si="12"/>
        <v>0</v>
      </c>
      <c r="E329" s="48"/>
    </row>
    <row r="330" spans="1:5" ht="16.5" customHeight="1" x14ac:dyDescent="0.25">
      <c r="A330" s="37" t="s">
        <v>160</v>
      </c>
      <c r="B330" s="38"/>
      <c r="C330" s="39">
        <v>9.0666666666666806</v>
      </c>
      <c r="D330" s="40">
        <f t="shared" si="12"/>
        <v>0</v>
      </c>
      <c r="E330" s="48"/>
    </row>
    <row r="331" spans="1:5" ht="16.5" customHeight="1" x14ac:dyDescent="0.25">
      <c r="A331" s="37" t="s">
        <v>159</v>
      </c>
      <c r="B331" s="38"/>
      <c r="C331" s="39">
        <v>9.3500000000000103</v>
      </c>
      <c r="D331" s="40">
        <f t="shared" si="12"/>
        <v>0</v>
      </c>
      <c r="E331" s="48"/>
    </row>
    <row r="332" spans="1:5" ht="16.5" customHeight="1" x14ac:dyDescent="0.25">
      <c r="A332" s="37" t="s">
        <v>158</v>
      </c>
      <c r="B332" s="38"/>
      <c r="C332" s="39">
        <v>9.6333333333333435</v>
      </c>
      <c r="D332" s="40">
        <f t="shared" si="12"/>
        <v>0</v>
      </c>
      <c r="E332" s="48"/>
    </row>
    <row r="333" spans="1:5" ht="16.5" customHeight="1" x14ac:dyDescent="0.25">
      <c r="A333" s="37" t="s">
        <v>157</v>
      </c>
      <c r="B333" s="38"/>
      <c r="C333" s="39">
        <v>9.916666666666675</v>
      </c>
      <c r="D333" s="40">
        <f t="shared" si="12"/>
        <v>0</v>
      </c>
      <c r="E333" s="48"/>
    </row>
    <row r="334" spans="1:5" ht="16.5" customHeight="1" x14ac:dyDescent="0.25">
      <c r="A334" s="37" t="s">
        <v>156</v>
      </c>
      <c r="B334" s="38"/>
      <c r="C334" s="39">
        <v>10.200000000000008</v>
      </c>
      <c r="D334" s="40">
        <f t="shared" ref="D334:D365" si="13">B334*C334</f>
        <v>0</v>
      </c>
      <c r="E334" s="48"/>
    </row>
    <row r="335" spans="1:5" ht="16.5" customHeight="1" x14ac:dyDescent="0.25">
      <c r="A335" s="37" t="s">
        <v>155</v>
      </c>
      <c r="B335" s="38"/>
      <c r="C335" s="39">
        <v>10.483333333333343</v>
      </c>
      <c r="D335" s="40">
        <f t="shared" si="13"/>
        <v>0</v>
      </c>
      <c r="E335" s="48"/>
    </row>
    <row r="336" spans="1:5" ht="16.5" customHeight="1" x14ac:dyDescent="0.25">
      <c r="A336" s="37" t="s">
        <v>154</v>
      </c>
      <c r="B336" s="38"/>
      <c r="C336" s="39">
        <v>10.766666666666675</v>
      </c>
      <c r="D336" s="40">
        <f t="shared" si="13"/>
        <v>0</v>
      </c>
      <c r="E336" s="48"/>
    </row>
    <row r="337" spans="1:5" ht="16.5" customHeight="1" x14ac:dyDescent="0.25">
      <c r="A337" s="37" t="s">
        <v>153</v>
      </c>
      <c r="B337" s="38"/>
      <c r="C337" s="39">
        <v>11.05000000000001</v>
      </c>
      <c r="D337" s="40">
        <f t="shared" si="13"/>
        <v>0</v>
      </c>
      <c r="E337" s="48"/>
    </row>
    <row r="338" spans="1:5" ht="16.5" customHeight="1" x14ac:dyDescent="0.25">
      <c r="A338" s="37" t="s">
        <v>152</v>
      </c>
      <c r="B338" s="38"/>
      <c r="C338" s="39">
        <v>11.333333333333345</v>
      </c>
      <c r="D338" s="40">
        <f t="shared" si="13"/>
        <v>0</v>
      </c>
      <c r="E338" s="48"/>
    </row>
    <row r="339" spans="1:5" ht="16.5" customHeight="1" x14ac:dyDescent="0.25">
      <c r="A339" s="37" t="s">
        <v>151</v>
      </c>
      <c r="B339" s="38"/>
      <c r="C339" s="39">
        <v>11.616666666666678</v>
      </c>
      <c r="D339" s="40">
        <f>B339*C339</f>
        <v>0</v>
      </c>
      <c r="E339" s="48"/>
    </row>
    <row r="340" spans="1:5" ht="16.5" customHeight="1" x14ac:dyDescent="0.25">
      <c r="A340" s="37" t="s">
        <v>150</v>
      </c>
      <c r="B340" s="38"/>
      <c r="C340" s="39">
        <v>11.900000000000013</v>
      </c>
      <c r="D340" s="40">
        <f t="shared" si="13"/>
        <v>0</v>
      </c>
      <c r="E340" s="48"/>
    </row>
    <row r="341" spans="1:5" ht="16.5" customHeight="1" x14ac:dyDescent="0.25">
      <c r="A341" s="37" t="s">
        <v>149</v>
      </c>
      <c r="B341" s="38"/>
      <c r="C341" s="39">
        <v>12.183333333333346</v>
      </c>
      <c r="D341" s="40">
        <f t="shared" si="13"/>
        <v>0</v>
      </c>
      <c r="E341" s="48"/>
    </row>
    <row r="342" spans="1:5" ht="16.5" customHeight="1" x14ac:dyDescent="0.25">
      <c r="A342" s="37" t="s">
        <v>148</v>
      </c>
      <c r="B342" s="38"/>
      <c r="C342" s="39">
        <v>12.466666666666681</v>
      </c>
      <c r="D342" s="40">
        <f t="shared" si="13"/>
        <v>0</v>
      </c>
      <c r="E342" s="48"/>
    </row>
    <row r="343" spans="1:5" ht="16.5" customHeight="1" x14ac:dyDescent="0.25">
      <c r="A343" s="37" t="s">
        <v>147</v>
      </c>
      <c r="B343" s="38"/>
      <c r="C343" s="39">
        <v>12.750000000000014</v>
      </c>
      <c r="D343" s="40">
        <f t="shared" si="13"/>
        <v>0</v>
      </c>
      <c r="E343" s="48"/>
    </row>
    <row r="344" spans="1:5" ht="16.5" customHeight="1" x14ac:dyDescent="0.25">
      <c r="A344" s="37" t="s">
        <v>146</v>
      </c>
      <c r="B344" s="38"/>
      <c r="C344" s="39">
        <v>13.033333333333347</v>
      </c>
      <c r="D344" s="40">
        <f t="shared" si="13"/>
        <v>0</v>
      </c>
      <c r="E344" s="48"/>
    </row>
    <row r="345" spans="1:5" ht="16.5" customHeight="1" x14ac:dyDescent="0.25">
      <c r="A345" s="37" t="s">
        <v>145</v>
      </c>
      <c r="B345" s="38"/>
      <c r="C345" s="39">
        <v>13.316666666666679</v>
      </c>
      <c r="D345" s="40">
        <f t="shared" si="13"/>
        <v>0</v>
      </c>
      <c r="E345" s="48"/>
    </row>
    <row r="346" spans="1:5" ht="16.5" customHeight="1" x14ac:dyDescent="0.25">
      <c r="A346" s="37" t="s">
        <v>144</v>
      </c>
      <c r="B346" s="38"/>
      <c r="C346" s="39">
        <v>13.600000000000012</v>
      </c>
      <c r="D346" s="40">
        <f t="shared" si="13"/>
        <v>0</v>
      </c>
      <c r="E346" s="48"/>
    </row>
    <row r="347" spans="1:5" ht="16.5" customHeight="1" x14ac:dyDescent="0.25">
      <c r="A347" s="37" t="s">
        <v>143</v>
      </c>
      <c r="B347" s="38"/>
      <c r="C347" s="39">
        <v>13.883333333333345</v>
      </c>
      <c r="D347" s="40">
        <f t="shared" si="13"/>
        <v>0</v>
      </c>
      <c r="E347" s="48"/>
    </row>
    <row r="348" spans="1:5" ht="16.5" customHeight="1" x14ac:dyDescent="0.25">
      <c r="A348" s="37" t="s">
        <v>142</v>
      </c>
      <c r="B348" s="38"/>
      <c r="C348" s="39">
        <v>14.166666666666679</v>
      </c>
      <c r="D348" s="40">
        <f t="shared" si="13"/>
        <v>0</v>
      </c>
      <c r="E348" s="48"/>
    </row>
    <row r="349" spans="1:5" ht="16.5" customHeight="1" x14ac:dyDescent="0.25">
      <c r="A349" s="37" t="s">
        <v>141</v>
      </c>
      <c r="B349" s="38"/>
      <c r="C349" s="39">
        <v>14.450000000000012</v>
      </c>
      <c r="D349" s="40">
        <f t="shared" si="13"/>
        <v>0</v>
      </c>
    </row>
    <row r="350" spans="1:5" ht="16.5" customHeight="1" x14ac:dyDescent="0.25">
      <c r="A350" s="37" t="s">
        <v>140</v>
      </c>
      <c r="B350" s="38"/>
      <c r="C350" s="39">
        <v>14.733333333333345</v>
      </c>
      <c r="D350" s="40">
        <f t="shared" si="13"/>
        <v>0</v>
      </c>
    </row>
    <row r="351" spans="1:5" ht="16.5" customHeight="1" x14ac:dyDescent="0.25">
      <c r="A351" s="37" t="s">
        <v>139</v>
      </c>
      <c r="B351" s="38"/>
      <c r="C351" s="39">
        <v>15.016666666666678</v>
      </c>
      <c r="D351" s="40">
        <f t="shared" si="13"/>
        <v>0</v>
      </c>
    </row>
    <row r="352" spans="1:5" ht="16.5" customHeight="1" x14ac:dyDescent="0.25">
      <c r="A352" s="37" t="s">
        <v>138</v>
      </c>
      <c r="B352" s="38"/>
      <c r="C352" s="39">
        <v>15.300000000000011</v>
      </c>
      <c r="D352" s="40">
        <f t="shared" si="13"/>
        <v>0</v>
      </c>
    </row>
    <row r="353" spans="1:7" ht="16.5" customHeight="1" x14ac:dyDescent="0.25">
      <c r="A353" s="37" t="s">
        <v>137</v>
      </c>
      <c r="B353" s="38"/>
      <c r="C353" s="39">
        <v>15.583333333333345</v>
      </c>
      <c r="D353" s="40">
        <f t="shared" si="13"/>
        <v>0</v>
      </c>
    </row>
    <row r="354" spans="1:7" ht="16.5" customHeight="1" x14ac:dyDescent="0.25">
      <c r="A354" s="37" t="s">
        <v>135</v>
      </c>
      <c r="B354" s="38"/>
      <c r="C354" s="39">
        <v>15.86666666666668</v>
      </c>
      <c r="D354" s="40">
        <f t="shared" si="13"/>
        <v>0</v>
      </c>
    </row>
    <row r="355" spans="1:7" ht="16.5" customHeight="1" x14ac:dyDescent="0.25">
      <c r="A355" s="37" t="s">
        <v>136</v>
      </c>
      <c r="B355" s="38"/>
      <c r="C355" s="39">
        <v>16.150000000000009</v>
      </c>
      <c r="D355" s="40">
        <f t="shared" si="13"/>
        <v>0</v>
      </c>
    </row>
    <row r="356" spans="1:7" ht="16.5" customHeight="1" x14ac:dyDescent="0.25">
      <c r="A356" s="37" t="s">
        <v>133</v>
      </c>
      <c r="B356" s="38"/>
      <c r="C356" s="39">
        <v>16.433333333333341</v>
      </c>
      <c r="D356" s="40">
        <f t="shared" si="13"/>
        <v>0</v>
      </c>
    </row>
    <row r="357" spans="1:7" ht="16.5" customHeight="1" x14ac:dyDescent="0.25">
      <c r="A357" s="37" t="s">
        <v>134</v>
      </c>
      <c r="B357" s="38"/>
      <c r="C357" s="39">
        <v>16.716666666666676</v>
      </c>
      <c r="D357" s="40">
        <f t="shared" si="13"/>
        <v>0</v>
      </c>
    </row>
    <row r="358" spans="1:7" ht="16.5" customHeight="1" x14ac:dyDescent="0.25">
      <c r="A358" s="37" t="s">
        <v>341</v>
      </c>
      <c r="B358" s="38"/>
      <c r="C358" s="39">
        <v>17</v>
      </c>
      <c r="D358" s="40">
        <f t="shared" si="13"/>
        <v>0</v>
      </c>
    </row>
    <row r="359" spans="1:7" ht="16.5" customHeight="1" x14ac:dyDescent="0.25">
      <c r="A359" s="37" t="s">
        <v>132</v>
      </c>
      <c r="B359" s="38"/>
      <c r="C359" s="39">
        <v>17.566666666666681</v>
      </c>
      <c r="D359" s="40">
        <f t="shared" si="13"/>
        <v>0</v>
      </c>
    </row>
    <row r="360" spans="1:7" ht="16.5" customHeight="1" x14ac:dyDescent="0.25">
      <c r="A360" s="37" t="s">
        <v>131</v>
      </c>
      <c r="B360" s="38"/>
      <c r="C360" s="39">
        <v>17.850000000000016</v>
      </c>
      <c r="D360" s="40">
        <f t="shared" si="13"/>
        <v>0</v>
      </c>
    </row>
    <row r="361" spans="1:7" ht="16.5" customHeight="1" x14ac:dyDescent="0.25">
      <c r="A361" s="37" t="s">
        <v>130</v>
      </c>
      <c r="B361" s="38"/>
      <c r="C361" s="39">
        <v>18.133333333333351</v>
      </c>
      <c r="D361" s="40">
        <f t="shared" si="13"/>
        <v>0</v>
      </c>
    </row>
    <row r="362" spans="1:7" ht="16.5" customHeight="1" x14ac:dyDescent="0.25">
      <c r="A362" s="37" t="s">
        <v>129</v>
      </c>
      <c r="B362" s="38"/>
      <c r="C362" s="39">
        <v>18.416666666666686</v>
      </c>
      <c r="D362" s="40">
        <f t="shared" si="13"/>
        <v>0</v>
      </c>
    </row>
    <row r="363" spans="1:7" ht="16.5" customHeight="1" x14ac:dyDescent="0.25">
      <c r="A363" s="37" t="s">
        <v>128</v>
      </c>
      <c r="B363" s="38"/>
      <c r="C363" s="39">
        <v>18.700000000000017</v>
      </c>
      <c r="D363" s="40">
        <f t="shared" si="13"/>
        <v>0</v>
      </c>
    </row>
    <row r="364" spans="1:7" ht="16.5" customHeight="1" x14ac:dyDescent="0.25">
      <c r="A364" s="37" t="s">
        <v>127</v>
      </c>
      <c r="B364" s="38"/>
      <c r="C364" s="39">
        <v>18.983333333333352</v>
      </c>
      <c r="D364" s="40">
        <f t="shared" si="13"/>
        <v>0</v>
      </c>
    </row>
    <row r="365" spans="1:7" ht="16.5" customHeight="1" x14ac:dyDescent="0.25">
      <c r="A365" s="37" t="s">
        <v>126</v>
      </c>
      <c r="B365" s="38"/>
      <c r="C365" s="39">
        <v>19.266666666666683</v>
      </c>
      <c r="D365" s="40">
        <f t="shared" si="13"/>
        <v>0</v>
      </c>
    </row>
    <row r="366" spans="1:7" ht="16.5" customHeight="1" x14ac:dyDescent="0.25">
      <c r="A366" s="37" t="s">
        <v>125</v>
      </c>
      <c r="B366" s="38"/>
      <c r="C366" s="39">
        <v>19.550000000000015</v>
      </c>
      <c r="D366" s="40">
        <f t="shared" ref="D366:D397" si="14">B366*C366</f>
        <v>0</v>
      </c>
    </row>
    <row r="367" spans="1:7" ht="16.5" customHeight="1" x14ac:dyDescent="0.25">
      <c r="A367" s="37" t="s">
        <v>124</v>
      </c>
      <c r="B367" s="38"/>
      <c r="C367" s="39">
        <v>19.833333333333346</v>
      </c>
      <c r="D367" s="40">
        <f t="shared" si="14"/>
        <v>0</v>
      </c>
    </row>
    <row r="368" spans="1:7" ht="16.5" customHeight="1" x14ac:dyDescent="0.25">
      <c r="A368" s="37" t="s">
        <v>123</v>
      </c>
      <c r="B368" s="38"/>
      <c r="C368" s="39">
        <v>20.116666666666681</v>
      </c>
      <c r="D368" s="40">
        <f t="shared" si="14"/>
        <v>0</v>
      </c>
      <c r="G368" s="45"/>
    </row>
    <row r="369" spans="1:7" ht="16.5" customHeight="1" x14ac:dyDescent="0.25">
      <c r="A369" s="37" t="s">
        <v>122</v>
      </c>
      <c r="B369" s="38"/>
      <c r="C369" s="39">
        <v>20.400000000000013</v>
      </c>
      <c r="D369" s="40">
        <f t="shared" si="14"/>
        <v>0</v>
      </c>
    </row>
    <row r="370" spans="1:7" ht="16.5" customHeight="1" x14ac:dyDescent="0.25">
      <c r="A370" s="37" t="s">
        <v>121</v>
      </c>
      <c r="B370" s="38"/>
      <c r="C370" s="39">
        <v>20.683333333333348</v>
      </c>
      <c r="D370" s="40">
        <f t="shared" si="14"/>
        <v>0</v>
      </c>
    </row>
    <row r="371" spans="1:7" ht="16.5" customHeight="1" x14ac:dyDescent="0.25">
      <c r="A371" s="37" t="s">
        <v>120</v>
      </c>
      <c r="B371" s="38"/>
      <c r="C371" s="39">
        <v>20.966666666666679</v>
      </c>
      <c r="D371" s="40">
        <f t="shared" si="14"/>
        <v>0</v>
      </c>
      <c r="F371" s="53"/>
    </row>
    <row r="372" spans="1:7" ht="16.5" customHeight="1" x14ac:dyDescent="0.25">
      <c r="A372" s="37" t="s">
        <v>119</v>
      </c>
      <c r="B372" s="38"/>
      <c r="C372" s="39">
        <v>21.250000000000011</v>
      </c>
      <c r="D372" s="40">
        <f t="shared" si="14"/>
        <v>0</v>
      </c>
    </row>
    <row r="373" spans="1:7" ht="16.5" customHeight="1" x14ac:dyDescent="0.25">
      <c r="A373" s="37" t="s">
        <v>118</v>
      </c>
      <c r="B373" s="38"/>
      <c r="C373" s="39">
        <v>21.533333333333346</v>
      </c>
      <c r="D373" s="40">
        <f t="shared" si="14"/>
        <v>0</v>
      </c>
    </row>
    <row r="374" spans="1:7" ht="16.5" customHeight="1" x14ac:dyDescent="0.25">
      <c r="A374" s="37" t="s">
        <v>117</v>
      </c>
      <c r="B374" s="38"/>
      <c r="C374" s="39">
        <v>21.816666666666681</v>
      </c>
      <c r="D374" s="40">
        <f t="shared" si="14"/>
        <v>0</v>
      </c>
    </row>
    <row r="375" spans="1:7" ht="16.5" customHeight="1" x14ac:dyDescent="0.25">
      <c r="A375" s="37" t="s">
        <v>116</v>
      </c>
      <c r="B375" s="38"/>
      <c r="C375" s="39">
        <v>22.100000000000012</v>
      </c>
      <c r="D375" s="40">
        <f t="shared" si="14"/>
        <v>0</v>
      </c>
    </row>
    <row r="376" spans="1:7" ht="17.25" customHeight="1" x14ac:dyDescent="0.25">
      <c r="A376" s="37" t="s">
        <v>115</v>
      </c>
      <c r="B376" s="38"/>
      <c r="C376" s="39">
        <v>22.383333333333347</v>
      </c>
      <c r="D376" s="40">
        <f t="shared" si="14"/>
        <v>0</v>
      </c>
      <c r="G376" s="45"/>
    </row>
    <row r="377" spans="1:7" ht="16.5" customHeight="1" x14ac:dyDescent="0.25">
      <c r="A377" s="37" t="s">
        <v>114</v>
      </c>
      <c r="B377" s="38"/>
      <c r="C377" s="39">
        <v>22.666666666666682</v>
      </c>
      <c r="D377" s="40">
        <f t="shared" si="14"/>
        <v>0</v>
      </c>
    </row>
    <row r="378" spans="1:7" ht="16.5" customHeight="1" x14ac:dyDescent="0.25">
      <c r="A378" s="37" t="s">
        <v>108</v>
      </c>
      <c r="B378" s="38"/>
      <c r="C378" s="39">
        <v>22.950000000000017</v>
      </c>
      <c r="D378" s="40">
        <f t="shared" si="14"/>
        <v>0</v>
      </c>
    </row>
    <row r="379" spans="1:7" ht="16.5" customHeight="1" x14ac:dyDescent="0.25">
      <c r="A379" s="37" t="s">
        <v>113</v>
      </c>
      <c r="B379" s="38"/>
      <c r="C379" s="39">
        <v>23.233333333333348</v>
      </c>
      <c r="D379" s="40">
        <f t="shared" si="14"/>
        <v>0</v>
      </c>
    </row>
    <row r="380" spans="1:7" ht="16.5" customHeight="1" x14ac:dyDescent="0.25">
      <c r="A380" s="37" t="s">
        <v>112</v>
      </c>
      <c r="B380" s="38"/>
      <c r="C380" s="39">
        <v>23.516666666666683</v>
      </c>
      <c r="D380" s="40">
        <f t="shared" si="14"/>
        <v>0</v>
      </c>
    </row>
    <row r="381" spans="1:7" ht="16.5" customHeight="1" x14ac:dyDescent="0.25">
      <c r="A381" s="37" t="s">
        <v>111</v>
      </c>
      <c r="B381" s="38"/>
      <c r="C381" s="39">
        <v>23.800000000000018</v>
      </c>
      <c r="D381" s="40">
        <f t="shared" si="14"/>
        <v>0</v>
      </c>
    </row>
    <row r="382" spans="1:7" ht="16.5" customHeight="1" x14ac:dyDescent="0.25">
      <c r="A382" s="37" t="s">
        <v>110</v>
      </c>
      <c r="B382" s="38"/>
      <c r="C382" s="39">
        <v>24.08333333333335</v>
      </c>
      <c r="D382" s="40">
        <f t="shared" si="14"/>
        <v>0</v>
      </c>
    </row>
    <row r="383" spans="1:7" ht="16.5" customHeight="1" x14ac:dyDescent="0.25">
      <c r="A383" s="37" t="s">
        <v>109</v>
      </c>
      <c r="B383" s="38"/>
      <c r="C383" s="39">
        <v>24.366666666666681</v>
      </c>
      <c r="D383" s="40">
        <f t="shared" si="14"/>
        <v>0</v>
      </c>
    </row>
    <row r="384" spans="1:7" ht="16.5" customHeight="1" x14ac:dyDescent="0.25">
      <c r="A384" s="37" t="s">
        <v>107</v>
      </c>
      <c r="B384" s="38"/>
      <c r="C384" s="39">
        <v>24.650000000000013</v>
      </c>
      <c r="D384" s="40">
        <f t="shared" si="14"/>
        <v>0</v>
      </c>
    </row>
    <row r="385" spans="1:4" ht="16.5" customHeight="1" x14ac:dyDescent="0.25">
      <c r="A385" s="37" t="s">
        <v>106</v>
      </c>
      <c r="B385" s="38"/>
      <c r="C385" s="39">
        <v>24.933333333333348</v>
      </c>
      <c r="D385" s="40">
        <f t="shared" si="14"/>
        <v>0</v>
      </c>
    </row>
    <row r="386" spans="1:4" ht="16.5" customHeight="1" x14ac:dyDescent="0.25">
      <c r="A386" s="37" t="s">
        <v>105</v>
      </c>
      <c r="B386" s="38"/>
      <c r="C386" s="39">
        <v>25.216666666666679</v>
      </c>
      <c r="D386" s="40">
        <f t="shared" si="14"/>
        <v>0</v>
      </c>
    </row>
    <row r="387" spans="1:4" ht="16.5" customHeight="1" x14ac:dyDescent="0.25">
      <c r="A387" s="37" t="s">
        <v>104</v>
      </c>
      <c r="B387" s="38"/>
      <c r="C387" s="39">
        <v>25.500000000000014</v>
      </c>
      <c r="D387" s="40">
        <f t="shared" si="14"/>
        <v>0</v>
      </c>
    </row>
    <row r="388" spans="1:4" ht="16.5" customHeight="1" x14ac:dyDescent="0.25">
      <c r="A388" s="37" t="s">
        <v>103</v>
      </c>
      <c r="B388" s="38"/>
      <c r="C388" s="39">
        <v>25.783333333333349</v>
      </c>
      <c r="D388" s="40">
        <f t="shared" si="14"/>
        <v>0</v>
      </c>
    </row>
    <row r="389" spans="1:4" ht="16.5" customHeight="1" x14ac:dyDescent="0.25">
      <c r="A389" s="37" t="s">
        <v>102</v>
      </c>
      <c r="B389" s="38"/>
      <c r="C389" s="39">
        <v>26.066666666666681</v>
      </c>
      <c r="D389" s="40">
        <f t="shared" si="14"/>
        <v>0</v>
      </c>
    </row>
    <row r="390" spans="1:4" ht="16.5" customHeight="1" x14ac:dyDescent="0.25">
      <c r="A390" s="37" t="s">
        <v>101</v>
      </c>
      <c r="B390" s="38"/>
      <c r="C390" s="39">
        <v>26.350000000000012</v>
      </c>
      <c r="D390" s="40">
        <f t="shared" si="14"/>
        <v>0</v>
      </c>
    </row>
    <row r="391" spans="1:4" ht="16.5" customHeight="1" x14ac:dyDescent="0.25">
      <c r="A391" s="37" t="s">
        <v>100</v>
      </c>
      <c r="B391" s="38"/>
      <c r="C391" s="39">
        <v>26.63333333333334</v>
      </c>
      <c r="D391" s="40">
        <f t="shared" si="14"/>
        <v>0</v>
      </c>
    </row>
    <row r="392" spans="1:4" ht="16.5" customHeight="1" x14ac:dyDescent="0.25">
      <c r="A392" s="37" t="s">
        <v>99</v>
      </c>
      <c r="B392" s="38"/>
      <c r="C392" s="39">
        <v>26.916666666666675</v>
      </c>
      <c r="D392" s="40">
        <f t="shared" si="14"/>
        <v>0</v>
      </c>
    </row>
    <row r="393" spans="1:4" ht="16.5" customHeight="1" x14ac:dyDescent="0.25">
      <c r="A393" s="37" t="s">
        <v>98</v>
      </c>
      <c r="B393" s="38"/>
      <c r="C393" s="39">
        <v>27.200000000000006</v>
      </c>
      <c r="D393" s="40">
        <f t="shared" si="14"/>
        <v>0</v>
      </c>
    </row>
    <row r="394" spans="1:4" ht="16.5" customHeight="1" x14ac:dyDescent="0.25">
      <c r="A394" s="37" t="s">
        <v>97</v>
      </c>
      <c r="B394" s="38"/>
      <c r="C394" s="39">
        <v>27.483333333333341</v>
      </c>
      <c r="D394" s="40">
        <f t="shared" si="14"/>
        <v>0</v>
      </c>
    </row>
    <row r="395" spans="1:4" ht="16.5" customHeight="1" x14ac:dyDescent="0.25">
      <c r="A395" s="37" t="s">
        <v>96</v>
      </c>
      <c r="B395" s="38"/>
      <c r="C395" s="39">
        <v>27.766666666666676</v>
      </c>
      <c r="D395" s="40">
        <f t="shared" si="14"/>
        <v>0</v>
      </c>
    </row>
    <row r="396" spans="1:4" ht="16.5" customHeight="1" x14ac:dyDescent="0.25">
      <c r="A396" s="37" t="s">
        <v>95</v>
      </c>
      <c r="B396" s="38"/>
      <c r="C396" s="39">
        <v>28.050000000000011</v>
      </c>
      <c r="D396" s="40">
        <f t="shared" si="14"/>
        <v>0</v>
      </c>
    </row>
    <row r="397" spans="1:4" ht="16.5" customHeight="1" x14ac:dyDescent="0.25">
      <c r="A397" s="37" t="s">
        <v>375</v>
      </c>
      <c r="B397" s="38"/>
      <c r="C397" s="39">
        <v>3</v>
      </c>
      <c r="D397" s="40">
        <f t="shared" si="14"/>
        <v>0</v>
      </c>
    </row>
    <row r="398" spans="1:4" ht="16.5" customHeight="1" x14ac:dyDescent="0.25">
      <c r="A398" s="37" t="s">
        <v>94</v>
      </c>
      <c r="B398" s="38"/>
      <c r="C398" s="39">
        <v>28.333333333333343</v>
      </c>
      <c r="D398" s="40">
        <f t="shared" ref="D398:D429" si="15">B398*C398</f>
        <v>0</v>
      </c>
    </row>
    <row r="399" spans="1:4" ht="16.5" customHeight="1" x14ac:dyDescent="0.25">
      <c r="A399" s="37" t="s">
        <v>370</v>
      </c>
      <c r="B399" s="38"/>
      <c r="C399" s="39">
        <v>56.7</v>
      </c>
      <c r="D399" s="40">
        <f t="shared" si="15"/>
        <v>0</v>
      </c>
    </row>
    <row r="400" spans="1:4" ht="16.5" customHeight="1" x14ac:dyDescent="0.25">
      <c r="A400" s="37" t="s">
        <v>93</v>
      </c>
      <c r="B400" s="38"/>
      <c r="C400" s="39">
        <v>28.616666666666674</v>
      </c>
      <c r="D400" s="40">
        <f t="shared" si="15"/>
        <v>0</v>
      </c>
    </row>
    <row r="401" spans="1:4" ht="16.5" customHeight="1" x14ac:dyDescent="0.25">
      <c r="A401" s="37" t="s">
        <v>92</v>
      </c>
      <c r="B401" s="38"/>
      <c r="C401" s="39">
        <v>28.900000000000009</v>
      </c>
      <c r="D401" s="40">
        <f t="shared" si="15"/>
        <v>0</v>
      </c>
    </row>
    <row r="402" spans="1:4" ht="16.5" customHeight="1" x14ac:dyDescent="0.25">
      <c r="A402" s="37" t="s">
        <v>91</v>
      </c>
      <c r="B402" s="38"/>
      <c r="C402" s="39">
        <v>29.183333333333344</v>
      </c>
      <c r="D402" s="40">
        <f t="shared" si="15"/>
        <v>0</v>
      </c>
    </row>
    <row r="403" spans="1:4" ht="16.5" customHeight="1" x14ac:dyDescent="0.25">
      <c r="A403" s="37" t="s">
        <v>90</v>
      </c>
      <c r="B403" s="38"/>
      <c r="C403" s="39">
        <v>29.466666666666679</v>
      </c>
      <c r="D403" s="40">
        <f t="shared" si="15"/>
        <v>0</v>
      </c>
    </row>
    <row r="404" spans="1:4" ht="16.5" customHeight="1" x14ac:dyDescent="0.25">
      <c r="A404" s="37" t="s">
        <v>89</v>
      </c>
      <c r="B404" s="38"/>
      <c r="C404" s="39">
        <v>29.750000000000011</v>
      </c>
      <c r="D404" s="40">
        <f t="shared" si="15"/>
        <v>0</v>
      </c>
    </row>
    <row r="405" spans="1:4" ht="16.5" customHeight="1" x14ac:dyDescent="0.25">
      <c r="A405" s="37" t="s">
        <v>88</v>
      </c>
      <c r="B405" s="38"/>
      <c r="C405" s="39">
        <v>30.033333333333346</v>
      </c>
      <c r="D405" s="40">
        <f t="shared" si="15"/>
        <v>0</v>
      </c>
    </row>
    <row r="406" spans="1:4" ht="16.5" customHeight="1" x14ac:dyDescent="0.25">
      <c r="A406" s="37" t="s">
        <v>87</v>
      </c>
      <c r="B406" s="38"/>
      <c r="C406" s="39">
        <v>30.316666666666681</v>
      </c>
      <c r="D406" s="40">
        <f t="shared" si="15"/>
        <v>0</v>
      </c>
    </row>
    <row r="407" spans="1:4" ht="16.5" customHeight="1" x14ac:dyDescent="0.25">
      <c r="A407" s="37" t="s">
        <v>86</v>
      </c>
      <c r="B407" s="38"/>
      <c r="C407" s="39">
        <v>30.600000000000016</v>
      </c>
      <c r="D407" s="40">
        <f t="shared" si="15"/>
        <v>0</v>
      </c>
    </row>
    <row r="408" spans="1:4" ht="16.5" customHeight="1" x14ac:dyDescent="0.25">
      <c r="A408" s="37" t="s">
        <v>85</v>
      </c>
      <c r="B408" s="38"/>
      <c r="C408" s="39">
        <v>30.883333333333347</v>
      </c>
      <c r="D408" s="40">
        <f t="shared" si="15"/>
        <v>0</v>
      </c>
    </row>
    <row r="409" spans="1:4" ht="16.5" customHeight="1" x14ac:dyDescent="0.25">
      <c r="A409" s="37" t="s">
        <v>84</v>
      </c>
      <c r="B409" s="38"/>
      <c r="C409" s="39">
        <v>31.166666666666682</v>
      </c>
      <c r="D409" s="40">
        <f t="shared" si="15"/>
        <v>0</v>
      </c>
    </row>
    <row r="410" spans="1:4" ht="16.5" customHeight="1" x14ac:dyDescent="0.25">
      <c r="A410" s="37" t="s">
        <v>369</v>
      </c>
      <c r="B410" s="38"/>
      <c r="C410" s="39">
        <v>62.33</v>
      </c>
      <c r="D410" s="40">
        <f t="shared" si="15"/>
        <v>0</v>
      </c>
    </row>
    <row r="411" spans="1:4" ht="16.5" customHeight="1" x14ac:dyDescent="0.25">
      <c r="A411" s="37" t="s">
        <v>83</v>
      </c>
      <c r="B411" s="38"/>
      <c r="C411" s="39">
        <v>31.450000000000017</v>
      </c>
      <c r="D411" s="40">
        <f t="shared" si="15"/>
        <v>0</v>
      </c>
    </row>
    <row r="412" spans="1:4" ht="16.5" customHeight="1" x14ac:dyDescent="0.25">
      <c r="A412" s="37" t="s">
        <v>82</v>
      </c>
      <c r="B412" s="38"/>
      <c r="C412" s="39">
        <v>31.733333333333352</v>
      </c>
      <c r="D412" s="40">
        <f t="shared" si="15"/>
        <v>0</v>
      </c>
    </row>
    <row r="413" spans="1:4" ht="16.5" customHeight="1" x14ac:dyDescent="0.25">
      <c r="A413" s="37" t="s">
        <v>81</v>
      </c>
      <c r="B413" s="38"/>
      <c r="C413" s="39">
        <v>32.01666666666668</v>
      </c>
      <c r="D413" s="40">
        <f t="shared" si="15"/>
        <v>0</v>
      </c>
    </row>
    <row r="414" spans="1:4" ht="16.5" customHeight="1" x14ac:dyDescent="0.25">
      <c r="A414" s="37" t="s">
        <v>80</v>
      </c>
      <c r="B414" s="38"/>
      <c r="C414" s="39">
        <v>32.300000000000011</v>
      </c>
      <c r="D414" s="40">
        <f t="shared" si="15"/>
        <v>0</v>
      </c>
    </row>
    <row r="415" spans="1:4" ht="16.5" customHeight="1" x14ac:dyDescent="0.25">
      <c r="A415" s="37" t="s">
        <v>79</v>
      </c>
      <c r="B415" s="38"/>
      <c r="C415" s="39">
        <v>32.583333333333343</v>
      </c>
      <c r="D415" s="40">
        <f t="shared" si="15"/>
        <v>0</v>
      </c>
    </row>
    <row r="416" spans="1:4" ht="16.5" customHeight="1" x14ac:dyDescent="0.25">
      <c r="A416" s="37" t="s">
        <v>78</v>
      </c>
      <c r="B416" s="38"/>
      <c r="C416" s="39">
        <v>32.866666666666674</v>
      </c>
      <c r="D416" s="40">
        <f t="shared" si="15"/>
        <v>0</v>
      </c>
    </row>
    <row r="417" spans="1:4" ht="16.5" customHeight="1" x14ac:dyDescent="0.25">
      <c r="A417" s="37" t="s">
        <v>77</v>
      </c>
      <c r="B417" s="38"/>
      <c r="C417" s="39">
        <v>33.150000000000006</v>
      </c>
      <c r="D417" s="40">
        <f t="shared" si="15"/>
        <v>0</v>
      </c>
    </row>
    <row r="418" spans="1:4" ht="16.5" customHeight="1" x14ac:dyDescent="0.25">
      <c r="A418" s="37" t="s">
        <v>76</v>
      </c>
      <c r="B418" s="38"/>
      <c r="C418" s="39">
        <v>33.433333333333337</v>
      </c>
      <c r="D418" s="40">
        <f t="shared" si="15"/>
        <v>0</v>
      </c>
    </row>
    <row r="419" spans="1:4" ht="16.5" customHeight="1" x14ac:dyDescent="0.25">
      <c r="A419" s="37" t="s">
        <v>74</v>
      </c>
      <c r="B419" s="38"/>
      <c r="C419" s="39">
        <v>33.716666666666669</v>
      </c>
      <c r="D419" s="40">
        <f t="shared" si="15"/>
        <v>0</v>
      </c>
    </row>
    <row r="420" spans="1:4" ht="16.5" customHeight="1" x14ac:dyDescent="0.25">
      <c r="A420" s="37" t="s">
        <v>376</v>
      </c>
      <c r="B420" s="38"/>
      <c r="C420" s="39">
        <v>2.4</v>
      </c>
      <c r="D420" s="40">
        <f t="shared" si="15"/>
        <v>0</v>
      </c>
    </row>
    <row r="421" spans="1:4" ht="16.5" customHeight="1" x14ac:dyDescent="0.25">
      <c r="A421" s="37" t="s">
        <v>378</v>
      </c>
      <c r="B421" s="38"/>
      <c r="C421" s="39">
        <v>2.7</v>
      </c>
      <c r="D421" s="40">
        <f t="shared" si="15"/>
        <v>0</v>
      </c>
    </row>
    <row r="422" spans="1:4" ht="16.5" customHeight="1" x14ac:dyDescent="0.25">
      <c r="A422" s="37" t="s">
        <v>374</v>
      </c>
      <c r="B422" s="38"/>
      <c r="C422" s="39">
        <v>3.6</v>
      </c>
      <c r="D422" s="40">
        <f t="shared" si="15"/>
        <v>0</v>
      </c>
    </row>
    <row r="423" spans="1:4" ht="16.5" customHeight="1" x14ac:dyDescent="0.25">
      <c r="A423" s="37" t="s">
        <v>397</v>
      </c>
      <c r="B423" s="38"/>
      <c r="C423" s="39">
        <v>34</v>
      </c>
      <c r="D423" s="40">
        <f t="shared" si="15"/>
        <v>0</v>
      </c>
    </row>
    <row r="424" spans="1:4" ht="16.5" customHeight="1" x14ac:dyDescent="0.25">
      <c r="A424" s="37" t="s">
        <v>368</v>
      </c>
      <c r="B424" s="38"/>
      <c r="C424" s="43">
        <v>68</v>
      </c>
      <c r="D424" s="40">
        <f t="shared" si="15"/>
        <v>0</v>
      </c>
    </row>
    <row r="425" spans="1:4" ht="16.5" customHeight="1" x14ac:dyDescent="0.25">
      <c r="A425" s="37" t="s">
        <v>377</v>
      </c>
      <c r="B425" s="38"/>
      <c r="C425" s="39">
        <v>3.2</v>
      </c>
      <c r="D425" s="40">
        <f t="shared" si="15"/>
        <v>0</v>
      </c>
    </row>
    <row r="426" spans="1:4" ht="16.5" customHeight="1" x14ac:dyDescent="0.25">
      <c r="A426" s="37" t="s">
        <v>461</v>
      </c>
      <c r="B426" s="38"/>
      <c r="C426" s="39">
        <v>19</v>
      </c>
      <c r="D426" s="40">
        <f t="shared" si="15"/>
        <v>0</v>
      </c>
    </row>
    <row r="427" spans="1:4" ht="16.5" customHeight="1" x14ac:dyDescent="0.25">
      <c r="A427" s="49" t="s">
        <v>361</v>
      </c>
      <c r="B427" s="38"/>
      <c r="C427" s="51">
        <v>0.05</v>
      </c>
      <c r="D427" s="40">
        <f t="shared" si="15"/>
        <v>0</v>
      </c>
    </row>
    <row r="428" spans="1:4" ht="16.5" customHeight="1" x14ac:dyDescent="0.25">
      <c r="A428" s="49" t="s">
        <v>335</v>
      </c>
      <c r="B428" s="38"/>
      <c r="C428" s="51">
        <v>7.4000000000000003E-3</v>
      </c>
      <c r="D428" s="40">
        <f t="shared" si="15"/>
        <v>0</v>
      </c>
    </row>
    <row r="429" spans="1:4" ht="16.5" customHeight="1" x14ac:dyDescent="0.25">
      <c r="A429" s="49" t="s">
        <v>336</v>
      </c>
      <c r="B429" s="38"/>
      <c r="C429" s="51">
        <v>5.3E-3</v>
      </c>
      <c r="D429" s="40">
        <f t="shared" si="15"/>
        <v>0</v>
      </c>
    </row>
    <row r="430" spans="1:4" ht="16.5" customHeight="1" x14ac:dyDescent="0.25">
      <c r="A430" s="46" t="s">
        <v>345</v>
      </c>
      <c r="B430" s="38"/>
      <c r="C430" s="39">
        <v>0.7</v>
      </c>
      <c r="D430" s="40">
        <f>B430*C430</f>
        <v>0</v>
      </c>
    </row>
    <row r="431" spans="1:4" ht="16.5" customHeight="1" x14ac:dyDescent="0.25">
      <c r="A431" s="50" t="s">
        <v>283</v>
      </c>
      <c r="B431" s="38"/>
      <c r="C431" s="39">
        <v>0.05</v>
      </c>
      <c r="D431" s="40">
        <f t="shared" ref="D431:D441" si="16">B431*C431</f>
        <v>0</v>
      </c>
    </row>
    <row r="432" spans="1:4" ht="16.5" customHeight="1" x14ac:dyDescent="0.25">
      <c r="A432" s="37" t="s">
        <v>232</v>
      </c>
      <c r="B432" s="38"/>
      <c r="C432" s="39">
        <v>0.1</v>
      </c>
      <c r="D432" s="40">
        <f t="shared" si="16"/>
        <v>0</v>
      </c>
    </row>
    <row r="433" spans="1:4" ht="16.5" customHeight="1" x14ac:dyDescent="0.25">
      <c r="A433" s="37" t="s">
        <v>222</v>
      </c>
      <c r="B433" s="38"/>
      <c r="C433" s="39">
        <v>3.5</v>
      </c>
      <c r="D433" s="40">
        <f t="shared" si="16"/>
        <v>0</v>
      </c>
    </row>
    <row r="434" spans="1:4" ht="16.5" customHeight="1" x14ac:dyDescent="0.25">
      <c r="A434" s="37" t="s">
        <v>462</v>
      </c>
      <c r="B434" s="38"/>
      <c r="C434" s="74">
        <v>1.5E-3</v>
      </c>
      <c r="D434" s="40">
        <f t="shared" si="16"/>
        <v>0</v>
      </c>
    </row>
    <row r="435" spans="1:4" ht="16.5" customHeight="1" x14ac:dyDescent="0.25">
      <c r="A435" s="49" t="s">
        <v>252</v>
      </c>
      <c r="B435" s="38"/>
      <c r="C435" s="39">
        <v>10.5</v>
      </c>
      <c r="D435" s="40">
        <f t="shared" si="16"/>
        <v>0</v>
      </c>
    </row>
    <row r="436" spans="1:4" ht="16.5" customHeight="1" x14ac:dyDescent="0.25">
      <c r="A436" s="37" t="s">
        <v>388</v>
      </c>
      <c r="B436" s="38"/>
      <c r="C436" s="39">
        <v>10</v>
      </c>
      <c r="D436" s="40">
        <f t="shared" si="16"/>
        <v>0</v>
      </c>
    </row>
    <row r="437" spans="1:4" ht="16.5" customHeight="1" x14ac:dyDescent="0.25">
      <c r="A437" s="37" t="s">
        <v>387</v>
      </c>
      <c r="B437" s="38"/>
      <c r="C437" s="39">
        <v>20</v>
      </c>
      <c r="D437" s="40">
        <f t="shared" si="16"/>
        <v>0</v>
      </c>
    </row>
    <row r="438" spans="1:4" ht="16.5" customHeight="1" x14ac:dyDescent="0.25">
      <c r="A438" s="37" t="s">
        <v>507</v>
      </c>
      <c r="B438" s="38"/>
      <c r="C438" s="39">
        <v>17</v>
      </c>
      <c r="D438" s="40">
        <f t="shared" si="16"/>
        <v>0</v>
      </c>
    </row>
    <row r="439" spans="1:4" ht="16.5" customHeight="1" x14ac:dyDescent="0.25">
      <c r="A439" s="37" t="s">
        <v>211</v>
      </c>
      <c r="B439" s="38"/>
      <c r="C439" s="39">
        <v>2.5</v>
      </c>
      <c r="D439" s="40">
        <f t="shared" si="16"/>
        <v>0</v>
      </c>
    </row>
    <row r="440" spans="1:4" ht="16.5" customHeight="1" x14ac:dyDescent="0.25">
      <c r="A440" s="37" t="s">
        <v>212</v>
      </c>
      <c r="B440" s="38"/>
      <c r="C440" s="39">
        <v>5</v>
      </c>
      <c r="D440" s="40">
        <f t="shared" si="16"/>
        <v>0</v>
      </c>
    </row>
    <row r="441" spans="1:4" ht="16.5" customHeight="1" x14ac:dyDescent="0.25">
      <c r="A441" s="37" t="s">
        <v>213</v>
      </c>
      <c r="B441" s="38"/>
      <c r="C441" s="39">
        <v>10.5</v>
      </c>
      <c r="D441" s="40">
        <f t="shared" si="16"/>
        <v>0</v>
      </c>
    </row>
    <row r="442" spans="1:4" ht="16.5" customHeight="1" x14ac:dyDescent="0.25">
      <c r="A442" s="37" t="s">
        <v>214</v>
      </c>
      <c r="B442" s="38"/>
      <c r="C442" s="39">
        <v>2</v>
      </c>
      <c r="D442" s="40">
        <f>B442*C442</f>
        <v>0</v>
      </c>
    </row>
    <row r="443" spans="1:4" ht="16.5" customHeight="1" x14ac:dyDescent="0.25">
      <c r="A443" s="37" t="s">
        <v>215</v>
      </c>
      <c r="B443" s="38"/>
      <c r="C443" s="39">
        <v>4.5</v>
      </c>
      <c r="D443" s="40">
        <f>B443*C443</f>
        <v>0</v>
      </c>
    </row>
    <row r="444" spans="1:4" ht="16.5" customHeight="1" x14ac:dyDescent="0.25">
      <c r="A444" s="37" t="s">
        <v>216</v>
      </c>
      <c r="B444" s="38"/>
      <c r="C444" s="39">
        <v>10</v>
      </c>
      <c r="D444" s="40">
        <f>B444*C444</f>
        <v>0</v>
      </c>
    </row>
    <row r="445" spans="1:4" ht="16.5" customHeight="1" x14ac:dyDescent="0.25">
      <c r="A445" s="37" t="s">
        <v>402</v>
      </c>
      <c r="B445" s="38"/>
      <c r="C445" s="39">
        <v>0.33</v>
      </c>
      <c r="D445" s="40">
        <f>B445*C445</f>
        <v>0</v>
      </c>
    </row>
    <row r="446" spans="1:4" ht="16.5" customHeight="1" x14ac:dyDescent="0.25">
      <c r="A446" s="37"/>
      <c r="B446" s="37"/>
      <c r="C446" s="39">
        <v>0.33</v>
      </c>
      <c r="D446" s="40">
        <f>B446*C446</f>
        <v>0</v>
      </c>
    </row>
    <row r="447" spans="1:4" ht="16.5" customHeight="1" x14ac:dyDescent="0.25">
      <c r="B447" s="109" t="s">
        <v>330</v>
      </c>
      <c r="C447" s="110"/>
      <c r="D447" s="85">
        <f>SUM(D3:D446)</f>
        <v>0</v>
      </c>
    </row>
    <row r="448" spans="1:4" x14ac:dyDescent="0.25">
      <c r="B448" s="54" t="s">
        <v>400</v>
      </c>
    </row>
    <row r="449" spans="3:7" x14ac:dyDescent="0.25">
      <c r="C449" s="55"/>
      <c r="D449" s="53"/>
      <c r="G449" s="45"/>
    </row>
    <row r="450" spans="3:7" x14ac:dyDescent="0.25">
      <c r="D450" s="53"/>
      <c r="F450" s="56"/>
    </row>
  </sheetData>
  <autoFilter ref="A2:D448" xr:uid="{00000000-0001-0000-0400-000000000000}">
    <sortState xmlns:xlrd2="http://schemas.microsoft.com/office/spreadsheetml/2017/richdata2" ref="A3:D448">
      <sortCondition ref="A2:A445"/>
    </sortState>
  </autoFilter>
  <mergeCells count="2">
    <mergeCell ref="A1:D1"/>
    <mergeCell ref="B447:C44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56"/>
  <sheetViews>
    <sheetView tabSelected="1" zoomScaleNormal="100" workbookViewId="0">
      <selection activeCell="J9" sqref="J9"/>
    </sheetView>
  </sheetViews>
  <sheetFormatPr baseColWidth="10" defaultColWidth="13.42578125" defaultRowHeight="16.5" x14ac:dyDescent="0.3"/>
  <cols>
    <col min="1" max="1" width="30" style="4" customWidth="1"/>
    <col min="2" max="2" width="14.140625" style="4" customWidth="1"/>
    <col min="3" max="3" width="10.85546875" style="4" customWidth="1"/>
    <col min="4" max="8" width="8.42578125" style="1" customWidth="1"/>
    <col min="9" max="10" width="13.42578125" style="1"/>
    <col min="11" max="11" width="0" style="1" hidden="1" customWidth="1"/>
    <col min="12" max="16384" width="13.42578125" style="1"/>
  </cols>
  <sheetData>
    <row r="1" spans="1:56" ht="54" customHeight="1" x14ac:dyDescent="0.3">
      <c r="A1" s="58" t="s">
        <v>254</v>
      </c>
      <c r="B1" s="24" t="s">
        <v>408</v>
      </c>
      <c r="C1" s="58" t="s">
        <v>329</v>
      </c>
      <c r="D1" s="24" t="s">
        <v>391</v>
      </c>
      <c r="E1" s="24" t="s">
        <v>392</v>
      </c>
      <c r="F1" s="24" t="s">
        <v>393</v>
      </c>
      <c r="G1" s="24" t="s">
        <v>394</v>
      </c>
      <c r="H1" s="59" t="s">
        <v>395</v>
      </c>
      <c r="I1" s="99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</row>
    <row r="2" spans="1:56" ht="18" customHeight="1" x14ac:dyDescent="0.3">
      <c r="A2" s="22" t="s">
        <v>509</v>
      </c>
      <c r="B2" s="33">
        <f>'OSCAR PINEDA'!D32</f>
        <v>22.168760833333341</v>
      </c>
      <c r="C2" s="28">
        <f>'OSCAR PINEDA'!F32</f>
        <v>82454.352083333346</v>
      </c>
      <c r="D2" s="2"/>
      <c r="E2" s="2"/>
      <c r="F2" s="2"/>
      <c r="G2" s="2"/>
      <c r="H2" s="2"/>
      <c r="I2" s="99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</row>
    <row r="3" spans="1:56" ht="18" customHeight="1" x14ac:dyDescent="0.3">
      <c r="A3" s="22" t="s">
        <v>502</v>
      </c>
      <c r="B3" s="33">
        <f>'MARIO MARTINEZ'!D33</f>
        <v>24.741673800000004</v>
      </c>
      <c r="C3" s="28">
        <f>'MARIO MARTINEZ'!F33</f>
        <v>85350.48543333335</v>
      </c>
      <c r="D3" s="2"/>
      <c r="E3" s="2"/>
      <c r="F3" s="2"/>
      <c r="G3" s="2"/>
      <c r="H3" s="2"/>
      <c r="I3" s="99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</row>
    <row r="4" spans="1:56" ht="18" customHeight="1" x14ac:dyDescent="0.3">
      <c r="A4" s="22" t="s">
        <v>520</v>
      </c>
      <c r="B4" s="33">
        <f>'JOSE GUEVARA'!D32</f>
        <v>28.326153733333339</v>
      </c>
      <c r="C4" s="28">
        <f>'JOSE GUEVARA'!F32</f>
        <v>70815.384333333335</v>
      </c>
      <c r="D4" s="2"/>
      <c r="E4" s="2"/>
      <c r="F4" s="2"/>
      <c r="G4" s="2"/>
      <c r="H4" s="2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</row>
    <row r="5" spans="1:56" ht="18" customHeight="1" x14ac:dyDescent="0.3">
      <c r="A5" s="22" t="s">
        <v>522</v>
      </c>
      <c r="B5" s="33">
        <f>'JIFFER NIETO'!D28</f>
        <v>10.863130000000002</v>
      </c>
      <c r="C5" s="28">
        <f>'JIFFER NIETO'!F28</f>
        <v>28367.084999999999</v>
      </c>
      <c r="D5" s="2"/>
      <c r="E5" s="2"/>
      <c r="F5" s="2"/>
      <c r="G5" s="2"/>
      <c r="H5" s="2"/>
      <c r="I5" s="79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</row>
    <row r="6" spans="1:56" ht="18" customHeight="1" x14ac:dyDescent="0.3">
      <c r="A6" s="22" t="s">
        <v>524</v>
      </c>
      <c r="B6" s="33">
        <f>'WILSON MARTINEZ'!D28</f>
        <v>27.894581666666678</v>
      </c>
      <c r="C6" s="28">
        <f>'WILSON MARTINEZ'!F28</f>
        <v>69736.454166666677</v>
      </c>
      <c r="D6" s="2"/>
      <c r="E6" s="2"/>
      <c r="F6" s="2"/>
      <c r="G6" s="2"/>
      <c r="H6" s="2"/>
      <c r="I6" s="79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</row>
    <row r="7" spans="1:56" ht="19.5" customHeight="1" x14ac:dyDescent="0.45">
      <c r="A7" s="80"/>
      <c r="B7" s="30" t="s">
        <v>329</v>
      </c>
      <c r="C7" s="29">
        <f>+SUM(C2:C6)</f>
        <v>336723.76101666671</v>
      </c>
      <c r="D7" s="81"/>
      <c r="E7" s="82"/>
      <c r="F7" s="82"/>
      <c r="G7" s="82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</row>
    <row r="8" spans="1:56" ht="3.75" customHeight="1" x14ac:dyDescent="0.3"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</row>
    <row r="9" spans="1:56" s="60" customFormat="1" ht="78" customHeight="1" x14ac:dyDescent="0.2">
      <c r="A9" s="90" t="s">
        <v>563</v>
      </c>
      <c r="B9" s="91"/>
      <c r="C9" s="91"/>
      <c r="D9" s="91"/>
      <c r="E9" s="91"/>
      <c r="F9" s="91"/>
      <c r="G9" s="91"/>
      <c r="H9" s="91"/>
      <c r="I9" s="92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</row>
    <row r="10" spans="1:56" s="60" customFormat="1" ht="4.5" customHeight="1" x14ac:dyDescent="0.2">
      <c r="A10" s="89"/>
      <c r="B10" s="89"/>
      <c r="C10" s="89"/>
      <c r="D10" s="89"/>
      <c r="E10" s="89"/>
      <c r="F10" s="89"/>
      <c r="G10" s="89"/>
      <c r="H10" s="89"/>
      <c r="I10" s="89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</row>
    <row r="11" spans="1:56" s="60" customFormat="1" x14ac:dyDescent="0.3">
      <c r="A11" s="96" t="s">
        <v>390</v>
      </c>
      <c r="B11" s="97"/>
      <c r="C11" s="97"/>
      <c r="D11" s="97"/>
      <c r="E11" s="97"/>
      <c r="F11" s="97"/>
      <c r="G11" s="97"/>
      <c r="H11" s="97"/>
      <c r="I11" s="98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</row>
    <row r="12" spans="1:56" s="60" customFormat="1" ht="118.5" customHeight="1" x14ac:dyDescent="0.2">
      <c r="A12" s="93" t="s">
        <v>523</v>
      </c>
      <c r="B12" s="94"/>
      <c r="C12" s="94"/>
      <c r="D12" s="94"/>
      <c r="E12" s="94"/>
      <c r="F12" s="94"/>
      <c r="G12" s="94"/>
      <c r="H12" s="94"/>
      <c r="I12" s="95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</row>
    <row r="13" spans="1:56" x14ac:dyDescent="0.3">
      <c r="A13" s="84"/>
      <c r="B13" s="84"/>
      <c r="C13" s="84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</row>
    <row r="14" spans="1:56" x14ac:dyDescent="0.3">
      <c r="A14" s="84"/>
      <c r="B14" s="84"/>
      <c r="C14" s="84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</row>
    <row r="15" spans="1:56" x14ac:dyDescent="0.3">
      <c r="A15" s="84"/>
      <c r="B15" s="84"/>
      <c r="C15" s="84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</row>
    <row r="16" spans="1:56" x14ac:dyDescent="0.3">
      <c r="A16" s="84"/>
      <c r="B16" s="84"/>
      <c r="C16" s="84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</row>
    <row r="17" spans="1:56" x14ac:dyDescent="0.3">
      <c r="A17" s="84"/>
      <c r="B17" s="84"/>
      <c r="C17" s="84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</row>
    <row r="18" spans="1:56" x14ac:dyDescent="0.3">
      <c r="A18" s="84"/>
      <c r="B18" s="84"/>
      <c r="C18" s="84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</row>
    <row r="19" spans="1:56" x14ac:dyDescent="0.3">
      <c r="A19" s="84"/>
      <c r="B19" s="84"/>
      <c r="C19" s="84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</row>
    <row r="20" spans="1:56" x14ac:dyDescent="0.3">
      <c r="A20" s="84"/>
      <c r="B20" s="84"/>
      <c r="C20" s="84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</row>
    <row r="21" spans="1:56" x14ac:dyDescent="0.3">
      <c r="A21" s="84"/>
      <c r="B21" s="84"/>
      <c r="C21" s="84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</row>
    <row r="22" spans="1:56" x14ac:dyDescent="0.3">
      <c r="A22" s="84"/>
      <c r="B22" s="84"/>
      <c r="C22" s="84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</row>
    <row r="23" spans="1:56" x14ac:dyDescent="0.3">
      <c r="A23" s="84"/>
      <c r="B23" s="84"/>
      <c r="C23" s="84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</row>
    <row r="24" spans="1:56" x14ac:dyDescent="0.3">
      <c r="A24" s="84"/>
      <c r="B24" s="84"/>
      <c r="C24" s="84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</row>
    <row r="25" spans="1:56" x14ac:dyDescent="0.3">
      <c r="A25" s="84"/>
      <c r="B25" s="84"/>
      <c r="C25" s="84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</row>
    <row r="26" spans="1:56" x14ac:dyDescent="0.3">
      <c r="A26" s="84"/>
      <c r="B26" s="84"/>
      <c r="C26" s="84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</row>
    <row r="27" spans="1:56" x14ac:dyDescent="0.3">
      <c r="A27" s="84"/>
      <c r="B27" s="84"/>
      <c r="C27" s="84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</row>
    <row r="28" spans="1:56" x14ac:dyDescent="0.3">
      <c r="A28" s="84"/>
      <c r="B28" s="84"/>
      <c r="C28" s="84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</row>
    <row r="29" spans="1:56" x14ac:dyDescent="0.3">
      <c r="A29" s="84"/>
      <c r="B29" s="84"/>
      <c r="C29" s="84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</row>
    <row r="30" spans="1:56" x14ac:dyDescent="0.3">
      <c r="A30" s="84"/>
      <c r="B30" s="84"/>
      <c r="C30" s="84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</row>
    <row r="31" spans="1:56" x14ac:dyDescent="0.3">
      <c r="A31" s="84"/>
      <c r="B31" s="84"/>
      <c r="C31" s="84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</row>
    <row r="32" spans="1:56" x14ac:dyDescent="0.3">
      <c r="A32" s="84"/>
      <c r="B32" s="84"/>
      <c r="C32" s="84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</row>
    <row r="33" spans="1:56" x14ac:dyDescent="0.3">
      <c r="A33" s="84"/>
      <c r="B33" s="84"/>
      <c r="C33" s="84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</row>
    <row r="34" spans="1:56" x14ac:dyDescent="0.3">
      <c r="A34" s="84"/>
      <c r="B34" s="84"/>
      <c r="C34" s="84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</row>
    <row r="35" spans="1:56" x14ac:dyDescent="0.3">
      <c r="A35" s="84"/>
      <c r="B35" s="84"/>
      <c r="C35" s="84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</row>
    <row r="36" spans="1:56" x14ac:dyDescent="0.3">
      <c r="A36" s="84"/>
      <c r="B36" s="84"/>
      <c r="C36" s="84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</row>
    <row r="37" spans="1:56" x14ac:dyDescent="0.3">
      <c r="A37" s="84"/>
      <c r="B37" s="84"/>
      <c r="C37" s="84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</row>
    <row r="38" spans="1:56" x14ac:dyDescent="0.3">
      <c r="A38" s="84"/>
      <c r="B38" s="84"/>
      <c r="C38" s="84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</row>
    <row r="39" spans="1:56" x14ac:dyDescent="0.3">
      <c r="A39" s="84"/>
      <c r="B39" s="84"/>
      <c r="C39" s="84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</row>
    <row r="40" spans="1:56" x14ac:dyDescent="0.3">
      <c r="A40" s="84"/>
      <c r="B40" s="84"/>
      <c r="C40" s="84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</row>
    <row r="41" spans="1:56" x14ac:dyDescent="0.3">
      <c r="A41" s="84"/>
      <c r="B41" s="84"/>
      <c r="C41" s="84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</row>
    <row r="42" spans="1:56" x14ac:dyDescent="0.3">
      <c r="A42" s="84"/>
      <c r="B42" s="84"/>
      <c r="C42" s="84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</row>
    <row r="43" spans="1:56" x14ac:dyDescent="0.3">
      <c r="A43" s="84"/>
      <c r="B43" s="84"/>
      <c r="C43" s="84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</row>
    <row r="44" spans="1:56" x14ac:dyDescent="0.3"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</row>
    <row r="45" spans="1:56" x14ac:dyDescent="0.3"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</row>
    <row r="46" spans="1:56" x14ac:dyDescent="0.3"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</row>
    <row r="47" spans="1:56" x14ac:dyDescent="0.3"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</row>
    <row r="48" spans="1:56" x14ac:dyDescent="0.3"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</row>
    <row r="49" spans="14:56" x14ac:dyDescent="0.3"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</row>
    <row r="50" spans="14:56" x14ac:dyDescent="0.3"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</row>
    <row r="51" spans="14:56" x14ac:dyDescent="0.3"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</row>
    <row r="52" spans="14:56" x14ac:dyDescent="0.3"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</row>
    <row r="53" spans="14:56" x14ac:dyDescent="0.3"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</row>
    <row r="54" spans="14:56" x14ac:dyDescent="0.3"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</row>
    <row r="55" spans="14:56" x14ac:dyDescent="0.3"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</row>
    <row r="56" spans="14:56" x14ac:dyDescent="0.3"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</row>
  </sheetData>
  <mergeCells count="5">
    <mergeCell ref="A10:I10"/>
    <mergeCell ref="A9:I9"/>
    <mergeCell ref="A12:I12"/>
    <mergeCell ref="A11:I11"/>
    <mergeCell ref="I1:I3"/>
  </mergeCells>
  <pageMargins left="0.7" right="0.7" top="0.75" bottom="0.75" header="0.3" footer="0.3"/>
  <pageSetup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03"/>
  <sheetViews>
    <sheetView zoomScaleNormal="100" zoomScaleSheetLayoutView="100" workbookViewId="0">
      <selection activeCell="A17" sqref="A17"/>
    </sheetView>
  </sheetViews>
  <sheetFormatPr baseColWidth="10" defaultColWidth="11.42578125" defaultRowHeight="16.5" x14ac:dyDescent="0.3"/>
  <cols>
    <col min="1" max="1" width="36.28515625" style="1" customWidth="1"/>
    <col min="2" max="2" width="9.140625" style="1" customWidth="1"/>
    <col min="3" max="3" width="11.42578125" style="1"/>
    <col min="4" max="4" width="27.28515625" style="1" customWidth="1"/>
    <col min="5" max="5" width="11.42578125" style="1"/>
    <col min="6" max="6" width="9.7109375" style="1" customWidth="1"/>
    <col min="7" max="16384" width="11.42578125" style="1"/>
  </cols>
  <sheetData>
    <row r="1" spans="1:2" ht="33" x14ac:dyDescent="0.3">
      <c r="A1" s="6" t="s">
        <v>40</v>
      </c>
      <c r="B1" s="7" t="s">
        <v>39</v>
      </c>
    </row>
    <row r="2" spans="1:2" x14ac:dyDescent="0.3">
      <c r="A2" s="2" t="s">
        <v>58</v>
      </c>
      <c r="B2" s="2">
        <v>2.5</v>
      </c>
    </row>
    <row r="3" spans="1:2" x14ac:dyDescent="0.3">
      <c r="A3" s="2" t="s">
        <v>59</v>
      </c>
      <c r="B3" s="3">
        <v>5</v>
      </c>
    </row>
    <row r="4" spans="1:2" x14ac:dyDescent="0.3">
      <c r="A4" s="2" t="s">
        <v>60</v>
      </c>
      <c r="B4" s="2">
        <v>10.5</v>
      </c>
    </row>
    <row r="5" spans="1:2" x14ac:dyDescent="0.3">
      <c r="A5" s="2" t="s">
        <v>61</v>
      </c>
      <c r="B5" s="2">
        <v>2</v>
      </c>
    </row>
    <row r="6" spans="1:2" x14ac:dyDescent="0.3">
      <c r="A6" s="2" t="s">
        <v>62</v>
      </c>
      <c r="B6" s="2">
        <v>4.5</v>
      </c>
    </row>
    <row r="7" spans="1:2" x14ac:dyDescent="0.3">
      <c r="A7" s="2" t="s">
        <v>63</v>
      </c>
      <c r="B7" s="2">
        <v>10</v>
      </c>
    </row>
    <row r="8" spans="1:2" x14ac:dyDescent="0.3">
      <c r="A8" s="2" t="s">
        <v>64</v>
      </c>
      <c r="B8" s="2">
        <v>2.9</v>
      </c>
    </row>
    <row r="9" spans="1:2" x14ac:dyDescent="0.3">
      <c r="A9" s="2" t="s">
        <v>65</v>
      </c>
      <c r="B9" s="2">
        <v>4.7</v>
      </c>
    </row>
    <row r="10" spans="1:2" x14ac:dyDescent="0.3">
      <c r="A10" s="2" t="s">
        <v>66</v>
      </c>
      <c r="B10" s="2">
        <v>5.8</v>
      </c>
    </row>
    <row r="11" spans="1:2" x14ac:dyDescent="0.3">
      <c r="A11" s="2" t="s">
        <v>67</v>
      </c>
      <c r="B11" s="2">
        <v>9.5</v>
      </c>
    </row>
    <row r="12" spans="1:2" x14ac:dyDescent="0.3">
      <c r="A12" s="2" t="s">
        <v>68</v>
      </c>
      <c r="B12" s="2">
        <v>12.5</v>
      </c>
    </row>
    <row r="13" spans="1:2" x14ac:dyDescent="0.3">
      <c r="A13" s="2" t="s">
        <v>69</v>
      </c>
      <c r="B13" s="2">
        <v>9</v>
      </c>
    </row>
    <row r="14" spans="1:2" x14ac:dyDescent="0.3">
      <c r="A14" s="2" t="s">
        <v>70</v>
      </c>
      <c r="B14" s="2">
        <v>9.8000000000000007</v>
      </c>
    </row>
    <row r="15" spans="1:2" x14ac:dyDescent="0.3">
      <c r="A15" s="21" t="s">
        <v>2</v>
      </c>
      <c r="B15" s="2">
        <v>3.5</v>
      </c>
    </row>
    <row r="16" spans="1:2" x14ac:dyDescent="0.3">
      <c r="A16" s="21" t="s">
        <v>3</v>
      </c>
      <c r="B16" s="2">
        <v>1.8</v>
      </c>
    </row>
    <row r="17" spans="1:2" x14ac:dyDescent="0.3">
      <c r="A17" s="21" t="s">
        <v>4</v>
      </c>
      <c r="B17" s="2">
        <v>11</v>
      </c>
    </row>
    <row r="18" spans="1:2" x14ac:dyDescent="0.3">
      <c r="A18" s="21" t="s">
        <v>5</v>
      </c>
      <c r="B18" s="2">
        <v>50</v>
      </c>
    </row>
    <row r="19" spans="1:2" x14ac:dyDescent="0.3">
      <c r="A19" s="21" t="s">
        <v>6</v>
      </c>
      <c r="B19" s="2">
        <v>33.5</v>
      </c>
    </row>
    <row r="20" spans="1:2" x14ac:dyDescent="0.3">
      <c r="A20" s="21" t="s">
        <v>7</v>
      </c>
      <c r="B20" s="2">
        <v>25</v>
      </c>
    </row>
    <row r="21" spans="1:2" x14ac:dyDescent="0.3">
      <c r="A21" s="21" t="s">
        <v>8</v>
      </c>
      <c r="B21" s="2">
        <v>15.5</v>
      </c>
    </row>
    <row r="22" spans="1:2" x14ac:dyDescent="0.3">
      <c r="A22" s="21" t="s">
        <v>9</v>
      </c>
      <c r="B22" s="2">
        <v>10.33</v>
      </c>
    </row>
    <row r="23" spans="1:2" x14ac:dyDescent="0.3">
      <c r="A23" s="21" t="s">
        <v>10</v>
      </c>
      <c r="B23" s="2">
        <v>15.5</v>
      </c>
    </row>
    <row r="24" spans="1:2" x14ac:dyDescent="0.3">
      <c r="A24" s="21" t="s">
        <v>11</v>
      </c>
      <c r="B24" s="2">
        <v>80</v>
      </c>
    </row>
    <row r="25" spans="1:2" x14ac:dyDescent="0.3">
      <c r="A25" s="21" t="s">
        <v>12</v>
      </c>
      <c r="B25" s="2">
        <v>20</v>
      </c>
    </row>
    <row r="26" spans="1:2" x14ac:dyDescent="0.3">
      <c r="A26" s="21" t="s">
        <v>13</v>
      </c>
      <c r="B26" s="2">
        <v>20</v>
      </c>
    </row>
    <row r="27" spans="1:2" x14ac:dyDescent="0.3">
      <c r="A27" s="21" t="s">
        <v>14</v>
      </c>
      <c r="B27" s="2">
        <v>2</v>
      </c>
    </row>
    <row r="28" spans="1:2" x14ac:dyDescent="0.3">
      <c r="A28" s="21" t="s">
        <v>15</v>
      </c>
      <c r="B28" s="2">
        <v>2</v>
      </c>
    </row>
    <row r="29" spans="1:2" x14ac:dyDescent="0.3">
      <c r="A29" s="21" t="s">
        <v>16</v>
      </c>
      <c r="B29" s="2">
        <v>22</v>
      </c>
    </row>
    <row r="30" spans="1:2" x14ac:dyDescent="0.3">
      <c r="A30" s="21" t="s">
        <v>17</v>
      </c>
      <c r="B30" s="2">
        <v>11.5</v>
      </c>
    </row>
    <row r="31" spans="1:2" x14ac:dyDescent="0.3">
      <c r="A31" s="21" t="s">
        <v>18</v>
      </c>
      <c r="B31" s="2">
        <v>0.1</v>
      </c>
    </row>
    <row r="32" spans="1:2" x14ac:dyDescent="0.3">
      <c r="A32" s="22" t="s">
        <v>19</v>
      </c>
      <c r="B32" s="2">
        <v>0.05</v>
      </c>
    </row>
    <row r="33" spans="1:2" x14ac:dyDescent="0.3">
      <c r="A33" s="23" t="s">
        <v>21</v>
      </c>
      <c r="B33" s="11">
        <v>7</v>
      </c>
    </row>
    <row r="34" spans="1:2" x14ac:dyDescent="0.3">
      <c r="A34" s="23" t="s">
        <v>22</v>
      </c>
      <c r="B34" s="8">
        <v>12.5</v>
      </c>
    </row>
    <row r="35" spans="1:2" x14ac:dyDescent="0.3">
      <c r="A35" s="23" t="s">
        <v>23</v>
      </c>
      <c r="B35" s="8">
        <v>17</v>
      </c>
    </row>
    <row r="36" spans="1:2" x14ac:dyDescent="0.3">
      <c r="A36" s="23" t="s">
        <v>24</v>
      </c>
      <c r="B36" s="8">
        <v>22</v>
      </c>
    </row>
    <row r="37" spans="1:2" x14ac:dyDescent="0.3">
      <c r="A37" s="23" t="s">
        <v>25</v>
      </c>
      <c r="B37" s="8">
        <v>24</v>
      </c>
    </row>
    <row r="38" spans="1:2" x14ac:dyDescent="0.3">
      <c r="A38" s="23" t="s">
        <v>26</v>
      </c>
      <c r="B38" s="8">
        <v>24</v>
      </c>
    </row>
    <row r="39" spans="1:2" x14ac:dyDescent="0.3">
      <c r="A39" s="23" t="s">
        <v>27</v>
      </c>
      <c r="B39" s="8">
        <v>5</v>
      </c>
    </row>
    <row r="40" spans="1:2" x14ac:dyDescent="0.3">
      <c r="A40" s="23" t="s">
        <v>28</v>
      </c>
      <c r="B40" s="8">
        <v>8</v>
      </c>
    </row>
    <row r="41" spans="1:2" x14ac:dyDescent="0.3">
      <c r="A41" s="23" t="s">
        <v>29</v>
      </c>
      <c r="B41" s="8">
        <v>20</v>
      </c>
    </row>
    <row r="42" spans="1:2" x14ac:dyDescent="0.3">
      <c r="A42" s="23" t="s">
        <v>30</v>
      </c>
      <c r="B42" s="8">
        <v>15</v>
      </c>
    </row>
    <row r="43" spans="1:2" x14ac:dyDescent="0.3">
      <c r="A43" s="23" t="s">
        <v>31</v>
      </c>
      <c r="B43" s="8">
        <v>25</v>
      </c>
    </row>
    <row r="44" spans="1:2" x14ac:dyDescent="0.3">
      <c r="A44" s="23" t="s">
        <v>32</v>
      </c>
      <c r="B44" s="8">
        <v>8</v>
      </c>
    </row>
    <row r="45" spans="1:2" x14ac:dyDescent="0.3">
      <c r="A45" s="23" t="s">
        <v>33</v>
      </c>
      <c r="B45" s="8">
        <v>65</v>
      </c>
    </row>
    <row r="46" spans="1:2" x14ac:dyDescent="0.3">
      <c r="A46" s="23" t="s">
        <v>34</v>
      </c>
      <c r="B46" s="8">
        <v>0.9</v>
      </c>
    </row>
    <row r="47" spans="1:2" x14ac:dyDescent="0.3">
      <c r="A47" s="23" t="s">
        <v>35</v>
      </c>
      <c r="B47" s="8">
        <v>0.17</v>
      </c>
    </row>
    <row r="48" spans="1:2" x14ac:dyDescent="0.3">
      <c r="A48" s="23" t="s">
        <v>36</v>
      </c>
      <c r="B48" s="8">
        <v>16</v>
      </c>
    </row>
    <row r="49" spans="1:2" x14ac:dyDescent="0.3">
      <c r="A49" s="23" t="s">
        <v>37</v>
      </c>
      <c r="B49" s="8"/>
    </row>
    <row r="50" spans="1:2" x14ac:dyDescent="0.3">
      <c r="A50" s="23" t="s">
        <v>38</v>
      </c>
      <c r="B50" s="8">
        <v>0.68</v>
      </c>
    </row>
    <row r="51" spans="1:2" x14ac:dyDescent="0.3">
      <c r="A51" s="5" t="s">
        <v>71</v>
      </c>
      <c r="B51" s="19">
        <v>26</v>
      </c>
    </row>
    <row r="52" spans="1:2" x14ac:dyDescent="0.3">
      <c r="A52" s="5" t="s">
        <v>72</v>
      </c>
      <c r="B52" s="19">
        <v>14</v>
      </c>
    </row>
    <row r="53" spans="1:2" x14ac:dyDescent="0.3">
      <c r="A53" s="5" t="s">
        <v>73</v>
      </c>
      <c r="B53" s="19">
        <v>17.333333333333336</v>
      </c>
    </row>
    <row r="54" spans="1:2" x14ac:dyDescent="0.3">
      <c r="A54" s="2" t="s">
        <v>75</v>
      </c>
      <c r="B54" s="20">
        <v>34</v>
      </c>
    </row>
    <row r="55" spans="1:2" x14ac:dyDescent="0.3">
      <c r="A55" s="2" t="s">
        <v>74</v>
      </c>
      <c r="B55" s="20">
        <v>33.716666666666669</v>
      </c>
    </row>
    <row r="56" spans="1:2" x14ac:dyDescent="0.3">
      <c r="A56" s="2" t="s">
        <v>76</v>
      </c>
      <c r="B56" s="20">
        <v>33.433333333333337</v>
      </c>
    </row>
    <row r="57" spans="1:2" x14ac:dyDescent="0.3">
      <c r="A57" s="2" t="s">
        <v>77</v>
      </c>
      <c r="B57" s="20">
        <v>33.150000000000006</v>
      </c>
    </row>
    <row r="58" spans="1:2" x14ac:dyDescent="0.3">
      <c r="A58" s="2" t="s">
        <v>78</v>
      </c>
      <c r="B58" s="20">
        <v>32.866666666666674</v>
      </c>
    </row>
    <row r="59" spans="1:2" x14ac:dyDescent="0.3">
      <c r="A59" s="2" t="s">
        <v>79</v>
      </c>
      <c r="B59" s="20">
        <v>32.583333333333343</v>
      </c>
    </row>
    <row r="60" spans="1:2" x14ac:dyDescent="0.3">
      <c r="A60" s="2" t="s">
        <v>80</v>
      </c>
      <c r="B60" s="20">
        <v>32.300000000000011</v>
      </c>
    </row>
    <row r="61" spans="1:2" x14ac:dyDescent="0.3">
      <c r="A61" s="2" t="s">
        <v>81</v>
      </c>
      <c r="B61" s="20">
        <v>32.01666666666668</v>
      </c>
    </row>
    <row r="62" spans="1:2" x14ac:dyDescent="0.3">
      <c r="A62" s="2" t="s">
        <v>82</v>
      </c>
      <c r="B62" s="20">
        <v>31.733333333333352</v>
      </c>
    </row>
    <row r="63" spans="1:2" x14ac:dyDescent="0.3">
      <c r="A63" s="2" t="s">
        <v>83</v>
      </c>
      <c r="B63" s="20">
        <v>31.450000000000017</v>
      </c>
    </row>
    <row r="64" spans="1:2" x14ac:dyDescent="0.3">
      <c r="A64" s="2" t="s">
        <v>84</v>
      </c>
      <c r="B64" s="20">
        <v>31.166666666666682</v>
      </c>
    </row>
    <row r="65" spans="1:2" x14ac:dyDescent="0.3">
      <c r="A65" s="2" t="s">
        <v>85</v>
      </c>
      <c r="B65" s="20">
        <v>30.883333333333347</v>
      </c>
    </row>
    <row r="66" spans="1:2" x14ac:dyDescent="0.3">
      <c r="A66" s="2" t="s">
        <v>86</v>
      </c>
      <c r="B66" s="20">
        <v>30.600000000000016</v>
      </c>
    </row>
    <row r="67" spans="1:2" x14ac:dyDescent="0.3">
      <c r="A67" s="2" t="s">
        <v>87</v>
      </c>
      <c r="B67" s="20">
        <v>30.316666666666681</v>
      </c>
    </row>
    <row r="68" spans="1:2" x14ac:dyDescent="0.3">
      <c r="A68" s="2" t="s">
        <v>88</v>
      </c>
      <c r="B68" s="20">
        <v>30.033333333333346</v>
      </c>
    </row>
    <row r="69" spans="1:2" x14ac:dyDescent="0.3">
      <c r="A69" s="2" t="s">
        <v>89</v>
      </c>
      <c r="B69" s="20">
        <v>29.750000000000011</v>
      </c>
    </row>
    <row r="70" spans="1:2" x14ac:dyDescent="0.3">
      <c r="A70" s="2" t="s">
        <v>90</v>
      </c>
      <c r="B70" s="20">
        <v>29.466666666666679</v>
      </c>
    </row>
    <row r="71" spans="1:2" x14ac:dyDescent="0.3">
      <c r="A71" s="2" t="s">
        <v>91</v>
      </c>
      <c r="B71" s="20">
        <v>29.183333333333344</v>
      </c>
    </row>
    <row r="72" spans="1:2" x14ac:dyDescent="0.3">
      <c r="A72" s="2" t="s">
        <v>92</v>
      </c>
      <c r="B72" s="20">
        <v>28.900000000000009</v>
      </c>
    </row>
    <row r="73" spans="1:2" x14ac:dyDescent="0.3">
      <c r="A73" s="2" t="s">
        <v>93</v>
      </c>
      <c r="B73" s="20">
        <v>28.616666666666674</v>
      </c>
    </row>
    <row r="74" spans="1:2" x14ac:dyDescent="0.3">
      <c r="A74" s="2" t="s">
        <v>94</v>
      </c>
      <c r="B74" s="20">
        <v>28.333333333333343</v>
      </c>
    </row>
    <row r="75" spans="1:2" x14ac:dyDescent="0.3">
      <c r="A75" s="2" t="s">
        <v>95</v>
      </c>
      <c r="B75" s="20">
        <v>28.050000000000011</v>
      </c>
    </row>
    <row r="76" spans="1:2" x14ac:dyDescent="0.3">
      <c r="A76" s="2" t="s">
        <v>96</v>
      </c>
      <c r="B76" s="20">
        <v>27.766666666666676</v>
      </c>
    </row>
    <row r="77" spans="1:2" x14ac:dyDescent="0.3">
      <c r="A77" s="2" t="s">
        <v>97</v>
      </c>
      <c r="B77" s="20">
        <v>27.483333333333341</v>
      </c>
    </row>
    <row r="78" spans="1:2" x14ac:dyDescent="0.3">
      <c r="A78" s="2" t="s">
        <v>98</v>
      </c>
      <c r="B78" s="20">
        <v>27.200000000000006</v>
      </c>
    </row>
    <row r="79" spans="1:2" x14ac:dyDescent="0.3">
      <c r="A79" s="2" t="s">
        <v>99</v>
      </c>
      <c r="B79" s="20">
        <v>26.916666666666675</v>
      </c>
    </row>
    <row r="80" spans="1:2" x14ac:dyDescent="0.3">
      <c r="A80" s="2" t="s">
        <v>100</v>
      </c>
      <c r="B80" s="20">
        <v>26.63333333333334</v>
      </c>
    </row>
    <row r="81" spans="1:2" x14ac:dyDescent="0.3">
      <c r="A81" s="2" t="s">
        <v>101</v>
      </c>
      <c r="B81" s="20">
        <v>26.350000000000012</v>
      </c>
    </row>
    <row r="82" spans="1:2" x14ac:dyDescent="0.3">
      <c r="A82" s="2" t="s">
        <v>102</v>
      </c>
      <c r="B82" s="20">
        <v>26.066666666666681</v>
      </c>
    </row>
    <row r="83" spans="1:2" x14ac:dyDescent="0.3">
      <c r="A83" s="2" t="s">
        <v>103</v>
      </c>
      <c r="B83" s="20">
        <v>25.783333333333349</v>
      </c>
    </row>
    <row r="84" spans="1:2" x14ac:dyDescent="0.3">
      <c r="A84" s="2" t="s">
        <v>104</v>
      </c>
      <c r="B84" s="20">
        <v>25.500000000000014</v>
      </c>
    </row>
    <row r="85" spans="1:2" x14ac:dyDescent="0.3">
      <c r="A85" s="2" t="s">
        <v>105</v>
      </c>
      <c r="B85" s="20">
        <v>25.216666666666679</v>
      </c>
    </row>
    <row r="86" spans="1:2" x14ac:dyDescent="0.3">
      <c r="A86" s="2" t="s">
        <v>106</v>
      </c>
      <c r="B86" s="20">
        <v>24.933333333333348</v>
      </c>
    </row>
    <row r="87" spans="1:2" x14ac:dyDescent="0.3">
      <c r="A87" s="2" t="s">
        <v>107</v>
      </c>
      <c r="B87" s="20">
        <v>24.650000000000013</v>
      </c>
    </row>
    <row r="88" spans="1:2" x14ac:dyDescent="0.3">
      <c r="A88" s="2" t="s">
        <v>109</v>
      </c>
      <c r="B88" s="20">
        <v>24.366666666666681</v>
      </c>
    </row>
    <row r="89" spans="1:2" x14ac:dyDescent="0.3">
      <c r="A89" s="2" t="s">
        <v>110</v>
      </c>
      <c r="B89" s="20">
        <v>24.08333333333335</v>
      </c>
    </row>
    <row r="90" spans="1:2" x14ac:dyDescent="0.3">
      <c r="A90" s="2" t="s">
        <v>111</v>
      </c>
      <c r="B90" s="20">
        <v>23.800000000000018</v>
      </c>
    </row>
    <row r="91" spans="1:2" x14ac:dyDescent="0.3">
      <c r="A91" s="2" t="s">
        <v>112</v>
      </c>
      <c r="B91" s="20">
        <v>23.516666666666683</v>
      </c>
    </row>
    <row r="92" spans="1:2" x14ac:dyDescent="0.3">
      <c r="A92" s="2" t="s">
        <v>113</v>
      </c>
      <c r="B92" s="20">
        <v>23.233333333333348</v>
      </c>
    </row>
    <row r="93" spans="1:2" x14ac:dyDescent="0.3">
      <c r="A93" s="2" t="s">
        <v>108</v>
      </c>
      <c r="B93" s="20">
        <v>22.950000000000017</v>
      </c>
    </row>
    <row r="94" spans="1:2" x14ac:dyDescent="0.3">
      <c r="A94" s="2" t="s">
        <v>114</v>
      </c>
      <c r="B94" s="20">
        <v>22.666666666666682</v>
      </c>
    </row>
    <row r="95" spans="1:2" x14ac:dyDescent="0.3">
      <c r="A95" s="2" t="s">
        <v>115</v>
      </c>
      <c r="B95" s="20">
        <v>22.383333333333347</v>
      </c>
    </row>
    <row r="96" spans="1:2" x14ac:dyDescent="0.3">
      <c r="A96" s="2" t="s">
        <v>116</v>
      </c>
      <c r="B96" s="20">
        <v>22.100000000000012</v>
      </c>
    </row>
    <row r="97" spans="1:2" x14ac:dyDescent="0.3">
      <c r="A97" s="2" t="s">
        <v>117</v>
      </c>
      <c r="B97" s="20">
        <v>21.816666666666681</v>
      </c>
    </row>
    <row r="98" spans="1:2" x14ac:dyDescent="0.3">
      <c r="A98" s="2" t="s">
        <v>118</v>
      </c>
      <c r="B98" s="20">
        <v>21.533333333333346</v>
      </c>
    </row>
    <row r="99" spans="1:2" x14ac:dyDescent="0.3">
      <c r="A99" s="2" t="s">
        <v>119</v>
      </c>
      <c r="B99" s="20">
        <v>21.250000000000011</v>
      </c>
    </row>
    <row r="100" spans="1:2" x14ac:dyDescent="0.3">
      <c r="A100" s="2" t="s">
        <v>120</v>
      </c>
      <c r="B100" s="20">
        <v>20.966666666666679</v>
      </c>
    </row>
    <row r="101" spans="1:2" x14ac:dyDescent="0.3">
      <c r="A101" s="2" t="s">
        <v>121</v>
      </c>
      <c r="B101" s="20">
        <v>20.683333333333348</v>
      </c>
    </row>
    <row r="102" spans="1:2" x14ac:dyDescent="0.3">
      <c r="A102" s="2" t="s">
        <v>122</v>
      </c>
      <c r="B102" s="20">
        <v>20.400000000000013</v>
      </c>
    </row>
    <row r="103" spans="1:2" x14ac:dyDescent="0.3">
      <c r="A103" s="2" t="s">
        <v>123</v>
      </c>
      <c r="B103" s="20">
        <v>20.116666666666681</v>
      </c>
    </row>
    <row r="104" spans="1:2" x14ac:dyDescent="0.3">
      <c r="A104" s="2" t="s">
        <v>124</v>
      </c>
      <c r="B104" s="20">
        <v>19.833333333333346</v>
      </c>
    </row>
    <row r="105" spans="1:2" x14ac:dyDescent="0.3">
      <c r="A105" s="2" t="s">
        <v>125</v>
      </c>
      <c r="B105" s="20">
        <v>19.550000000000015</v>
      </c>
    </row>
    <row r="106" spans="1:2" x14ac:dyDescent="0.3">
      <c r="A106" s="2" t="s">
        <v>126</v>
      </c>
      <c r="B106" s="20">
        <v>19.266666666666683</v>
      </c>
    </row>
    <row r="107" spans="1:2" x14ac:dyDescent="0.3">
      <c r="A107" s="2" t="s">
        <v>127</v>
      </c>
      <c r="B107" s="20">
        <v>18.983333333333352</v>
      </c>
    </row>
    <row r="108" spans="1:2" x14ac:dyDescent="0.3">
      <c r="A108" s="2" t="s">
        <v>128</v>
      </c>
      <c r="B108" s="20">
        <v>18.700000000000017</v>
      </c>
    </row>
    <row r="109" spans="1:2" x14ac:dyDescent="0.3">
      <c r="A109" s="2" t="s">
        <v>129</v>
      </c>
      <c r="B109" s="20">
        <v>18.416666666666686</v>
      </c>
    </row>
    <row r="110" spans="1:2" x14ac:dyDescent="0.3">
      <c r="A110" s="2" t="s">
        <v>130</v>
      </c>
      <c r="B110" s="20">
        <v>18.133333333333351</v>
      </c>
    </row>
    <row r="111" spans="1:2" x14ac:dyDescent="0.3">
      <c r="A111" s="2" t="s">
        <v>131</v>
      </c>
      <c r="B111" s="20">
        <v>17.850000000000016</v>
      </c>
    </row>
    <row r="112" spans="1:2" x14ac:dyDescent="0.3">
      <c r="A112" s="2" t="s">
        <v>132</v>
      </c>
      <c r="B112" s="20">
        <v>17.566666666666681</v>
      </c>
    </row>
    <row r="113" spans="1:2" x14ac:dyDescent="0.3">
      <c r="A113" s="2" t="s">
        <v>129</v>
      </c>
      <c r="B113" s="20">
        <v>17.283333333333346</v>
      </c>
    </row>
    <row r="114" spans="1:2" x14ac:dyDescent="0.3">
      <c r="A114" s="2" t="s">
        <v>130</v>
      </c>
      <c r="B114" s="20">
        <v>17.000000000000011</v>
      </c>
    </row>
    <row r="115" spans="1:2" x14ac:dyDescent="0.3">
      <c r="A115" s="2" t="s">
        <v>134</v>
      </c>
      <c r="B115" s="20">
        <v>16.716666666666676</v>
      </c>
    </row>
    <row r="116" spans="1:2" x14ac:dyDescent="0.3">
      <c r="A116" s="2" t="s">
        <v>133</v>
      </c>
      <c r="B116" s="20">
        <v>16.433333333333341</v>
      </c>
    </row>
    <row r="117" spans="1:2" x14ac:dyDescent="0.3">
      <c r="A117" s="2" t="s">
        <v>136</v>
      </c>
      <c r="B117" s="20">
        <v>16.150000000000009</v>
      </c>
    </row>
    <row r="118" spans="1:2" x14ac:dyDescent="0.3">
      <c r="A118" s="2" t="s">
        <v>135</v>
      </c>
      <c r="B118" s="20">
        <v>15.86666666666668</v>
      </c>
    </row>
    <row r="119" spans="1:2" x14ac:dyDescent="0.3">
      <c r="A119" s="2" t="s">
        <v>137</v>
      </c>
      <c r="B119" s="20">
        <v>15.583333333333345</v>
      </c>
    </row>
    <row r="120" spans="1:2" x14ac:dyDescent="0.3">
      <c r="A120" s="2" t="s">
        <v>138</v>
      </c>
      <c r="B120" s="20">
        <v>15.300000000000011</v>
      </c>
    </row>
    <row r="121" spans="1:2" x14ac:dyDescent="0.3">
      <c r="A121" s="2" t="s">
        <v>139</v>
      </c>
      <c r="B121" s="20">
        <v>15.016666666666678</v>
      </c>
    </row>
    <row r="122" spans="1:2" x14ac:dyDescent="0.3">
      <c r="A122" s="2" t="s">
        <v>140</v>
      </c>
      <c r="B122" s="20">
        <v>14.733333333333345</v>
      </c>
    </row>
    <row r="123" spans="1:2" x14ac:dyDescent="0.3">
      <c r="A123" s="2" t="s">
        <v>141</v>
      </c>
      <c r="B123" s="20">
        <v>14.450000000000012</v>
      </c>
    </row>
    <row r="124" spans="1:2" x14ac:dyDescent="0.3">
      <c r="A124" s="2" t="s">
        <v>142</v>
      </c>
      <c r="B124" s="20">
        <v>14.166666666666679</v>
      </c>
    </row>
    <row r="125" spans="1:2" x14ac:dyDescent="0.3">
      <c r="A125" s="2" t="s">
        <v>143</v>
      </c>
      <c r="B125" s="20">
        <v>13.883333333333345</v>
      </c>
    </row>
    <row r="126" spans="1:2" x14ac:dyDescent="0.3">
      <c r="A126" s="2" t="s">
        <v>144</v>
      </c>
      <c r="B126" s="20">
        <v>13.600000000000012</v>
      </c>
    </row>
    <row r="127" spans="1:2" x14ac:dyDescent="0.3">
      <c r="A127" s="2" t="s">
        <v>145</v>
      </c>
      <c r="B127" s="20">
        <v>13.316666666666679</v>
      </c>
    </row>
    <row r="128" spans="1:2" x14ac:dyDescent="0.3">
      <c r="A128" s="2" t="s">
        <v>146</v>
      </c>
      <c r="B128" s="20">
        <v>13.033333333333347</v>
      </c>
    </row>
    <row r="129" spans="1:2" x14ac:dyDescent="0.3">
      <c r="A129" s="2" t="s">
        <v>147</v>
      </c>
      <c r="B129" s="20">
        <v>12.750000000000014</v>
      </c>
    </row>
    <row r="130" spans="1:2" x14ac:dyDescent="0.3">
      <c r="A130" s="2" t="s">
        <v>148</v>
      </c>
      <c r="B130" s="20">
        <v>12.466666666666681</v>
      </c>
    </row>
    <row r="131" spans="1:2" x14ac:dyDescent="0.3">
      <c r="A131" s="2" t="s">
        <v>149</v>
      </c>
      <c r="B131" s="20">
        <v>12.183333333333346</v>
      </c>
    </row>
    <row r="132" spans="1:2" x14ac:dyDescent="0.3">
      <c r="A132" s="2" t="s">
        <v>150</v>
      </c>
      <c r="B132" s="20">
        <v>11.900000000000013</v>
      </c>
    </row>
    <row r="133" spans="1:2" x14ac:dyDescent="0.3">
      <c r="A133" s="2" t="s">
        <v>151</v>
      </c>
      <c r="B133" s="20">
        <v>11.616666666666678</v>
      </c>
    </row>
    <row r="134" spans="1:2" x14ac:dyDescent="0.3">
      <c r="A134" s="2" t="s">
        <v>152</v>
      </c>
      <c r="B134" s="20">
        <v>11.333333333333345</v>
      </c>
    </row>
    <row r="135" spans="1:2" x14ac:dyDescent="0.3">
      <c r="A135" s="2" t="s">
        <v>153</v>
      </c>
      <c r="B135" s="20">
        <v>11.05000000000001</v>
      </c>
    </row>
    <row r="136" spans="1:2" x14ac:dyDescent="0.3">
      <c r="A136" s="2" t="s">
        <v>154</v>
      </c>
      <c r="B136" s="20">
        <v>10.766666666666675</v>
      </c>
    </row>
    <row r="137" spans="1:2" x14ac:dyDescent="0.3">
      <c r="A137" s="2" t="s">
        <v>155</v>
      </c>
      <c r="B137" s="20">
        <v>10.483333333333343</v>
      </c>
    </row>
    <row r="138" spans="1:2" x14ac:dyDescent="0.3">
      <c r="A138" s="2" t="s">
        <v>156</v>
      </c>
      <c r="B138" s="20">
        <v>10.200000000000008</v>
      </c>
    </row>
    <row r="139" spans="1:2" x14ac:dyDescent="0.3">
      <c r="A139" s="2" t="s">
        <v>157</v>
      </c>
      <c r="B139" s="20">
        <v>9.916666666666675</v>
      </c>
    </row>
    <row r="140" spans="1:2" x14ac:dyDescent="0.3">
      <c r="A140" s="2" t="s">
        <v>158</v>
      </c>
      <c r="B140" s="20">
        <v>9.6333333333333435</v>
      </c>
    </row>
    <row r="141" spans="1:2" x14ac:dyDescent="0.3">
      <c r="A141" s="2" t="s">
        <v>159</v>
      </c>
      <c r="B141" s="20">
        <v>9.3500000000000103</v>
      </c>
    </row>
    <row r="142" spans="1:2" x14ac:dyDescent="0.3">
      <c r="A142" s="2" t="s">
        <v>160</v>
      </c>
      <c r="B142" s="20">
        <v>9.0666666666666753</v>
      </c>
    </row>
    <row r="143" spans="1:2" x14ac:dyDescent="0.3">
      <c r="A143" s="2" t="s">
        <v>161</v>
      </c>
      <c r="B143" s="20">
        <v>8.7833333333333421</v>
      </c>
    </row>
    <row r="144" spans="1:2" x14ac:dyDescent="0.3">
      <c r="A144" s="2" t="s">
        <v>162</v>
      </c>
      <c r="B144" s="20">
        <v>8.5000000000000089</v>
      </c>
    </row>
    <row r="145" spans="1:2" x14ac:dyDescent="0.3">
      <c r="A145" s="2" t="s">
        <v>163</v>
      </c>
      <c r="B145" s="20">
        <v>8.2166666666666757</v>
      </c>
    </row>
    <row r="146" spans="1:2" x14ac:dyDescent="0.3">
      <c r="A146" s="2" t="s">
        <v>164</v>
      </c>
      <c r="B146" s="20">
        <v>7.9333333333333433</v>
      </c>
    </row>
    <row r="147" spans="1:2" x14ac:dyDescent="0.3">
      <c r="A147" s="2" t="s">
        <v>165</v>
      </c>
      <c r="B147" s="20">
        <v>7.6500000000000092</v>
      </c>
    </row>
    <row r="148" spans="1:2" x14ac:dyDescent="0.3">
      <c r="A148" s="2" t="s">
        <v>167</v>
      </c>
      <c r="B148" s="20">
        <v>7.3666666666666751</v>
      </c>
    </row>
    <row r="149" spans="1:2" x14ac:dyDescent="0.3">
      <c r="A149" s="2" t="s">
        <v>166</v>
      </c>
      <c r="B149" s="20">
        <v>7.0833333333333419</v>
      </c>
    </row>
    <row r="150" spans="1:2" x14ac:dyDescent="0.3">
      <c r="A150" s="2" t="s">
        <v>168</v>
      </c>
      <c r="B150" s="20">
        <v>6.8000000000000078</v>
      </c>
    </row>
    <row r="151" spans="1:2" x14ac:dyDescent="0.3">
      <c r="A151" s="2" t="s">
        <v>169</v>
      </c>
      <c r="B151" s="20">
        <v>6.5166666666666746</v>
      </c>
    </row>
    <row r="152" spans="1:2" x14ac:dyDescent="0.3">
      <c r="A152" s="2" t="s">
        <v>170</v>
      </c>
      <c r="B152" s="20">
        <v>6.2333333333333405</v>
      </c>
    </row>
    <row r="153" spans="1:2" x14ac:dyDescent="0.3">
      <c r="A153" s="2" t="s">
        <v>171</v>
      </c>
      <c r="B153" s="20">
        <v>5.9500000000000064</v>
      </c>
    </row>
    <row r="154" spans="1:2" x14ac:dyDescent="0.3">
      <c r="A154" s="2" t="s">
        <v>172</v>
      </c>
      <c r="B154" s="20">
        <v>5.6666666666666723</v>
      </c>
    </row>
    <row r="155" spans="1:2" x14ac:dyDescent="0.3">
      <c r="A155" s="2" t="s">
        <v>173</v>
      </c>
      <c r="B155" s="20">
        <v>5.3833333333333382</v>
      </c>
    </row>
    <row r="156" spans="1:2" x14ac:dyDescent="0.3">
      <c r="A156" s="2" t="s">
        <v>174</v>
      </c>
      <c r="B156" s="20">
        <v>5.100000000000005</v>
      </c>
    </row>
    <row r="157" spans="1:2" x14ac:dyDescent="0.3">
      <c r="A157" s="2" t="s">
        <v>178</v>
      </c>
      <c r="B157" s="20">
        <v>4.8166666666666718</v>
      </c>
    </row>
    <row r="158" spans="1:2" x14ac:dyDescent="0.3">
      <c r="A158" s="2" t="s">
        <v>175</v>
      </c>
      <c r="B158" s="20">
        <v>4.5333333333333377</v>
      </c>
    </row>
    <row r="159" spans="1:2" x14ac:dyDescent="0.3">
      <c r="A159" s="2" t="s">
        <v>176</v>
      </c>
      <c r="B159" s="20">
        <v>4.2500000000000036</v>
      </c>
    </row>
    <row r="160" spans="1:2" x14ac:dyDescent="0.3">
      <c r="A160" s="2" t="s">
        <v>177</v>
      </c>
      <c r="B160" s="20">
        <v>3.9666666666666703</v>
      </c>
    </row>
    <row r="161" spans="1:2" x14ac:dyDescent="0.3">
      <c r="A161" s="2" t="s">
        <v>179</v>
      </c>
      <c r="B161" s="20">
        <v>3.6833333333333313</v>
      </c>
    </row>
    <row r="162" spans="1:2" x14ac:dyDescent="0.3">
      <c r="A162" s="2" t="s">
        <v>180</v>
      </c>
      <c r="B162" s="20">
        <v>3.3999999999999977</v>
      </c>
    </row>
    <row r="163" spans="1:2" x14ac:dyDescent="0.3">
      <c r="A163" s="2" t="s">
        <v>181</v>
      </c>
      <c r="B163" s="20">
        <v>3.116666666666664</v>
      </c>
    </row>
    <row r="164" spans="1:2" x14ac:dyDescent="0.3">
      <c r="A164" s="2" t="s">
        <v>182</v>
      </c>
      <c r="B164" s="20">
        <v>2.8333333333333299</v>
      </c>
    </row>
    <row r="165" spans="1:2" x14ac:dyDescent="0.3">
      <c r="A165" s="13" t="s">
        <v>41</v>
      </c>
      <c r="B165" s="16">
        <v>0.33</v>
      </c>
    </row>
    <row r="166" spans="1:2" x14ac:dyDescent="0.3">
      <c r="A166" s="13" t="s">
        <v>42</v>
      </c>
      <c r="B166" s="16">
        <v>2.5000000000000001E-2</v>
      </c>
    </row>
    <row r="167" spans="1:2" x14ac:dyDescent="0.3">
      <c r="A167" s="13" t="s">
        <v>42</v>
      </c>
      <c r="B167" s="16">
        <v>0.05</v>
      </c>
    </row>
    <row r="168" spans="1:2" x14ac:dyDescent="0.3">
      <c r="A168" s="13" t="s">
        <v>42</v>
      </c>
      <c r="B168" s="16">
        <v>0.1</v>
      </c>
    </row>
    <row r="169" spans="1:2" x14ac:dyDescent="0.3">
      <c r="A169" s="13" t="s">
        <v>43</v>
      </c>
      <c r="B169" s="16">
        <v>0.7</v>
      </c>
    </row>
    <row r="170" spans="1:2" x14ac:dyDescent="0.3">
      <c r="A170" s="13" t="s">
        <v>44</v>
      </c>
      <c r="B170" s="16">
        <v>40</v>
      </c>
    </row>
    <row r="171" spans="1:2" x14ac:dyDescent="0.3">
      <c r="A171" s="13" t="s">
        <v>44</v>
      </c>
      <c r="B171" s="16">
        <v>33.333333333333336</v>
      </c>
    </row>
    <row r="172" spans="1:2" x14ac:dyDescent="0.3">
      <c r="A172" s="13" t="s">
        <v>44</v>
      </c>
      <c r="B172" s="16">
        <v>26.666666666666668</v>
      </c>
    </row>
    <row r="173" spans="1:2" x14ac:dyDescent="0.3">
      <c r="A173" s="13" t="s">
        <v>44</v>
      </c>
      <c r="B173" s="16">
        <v>20</v>
      </c>
    </row>
    <row r="174" spans="1:2" x14ac:dyDescent="0.3">
      <c r="A174" s="13" t="s">
        <v>44</v>
      </c>
      <c r="B174" s="16">
        <v>13.333333333333334</v>
      </c>
    </row>
    <row r="175" spans="1:2" x14ac:dyDescent="0.3">
      <c r="A175" s="13" t="s">
        <v>44</v>
      </c>
      <c r="B175" s="16">
        <v>6.666666666666667</v>
      </c>
    </row>
    <row r="176" spans="1:2" x14ac:dyDescent="0.3">
      <c r="A176" s="13" t="s">
        <v>45</v>
      </c>
      <c r="B176" s="16">
        <v>7.0000000000000007E-2</v>
      </c>
    </row>
    <row r="177" spans="1:2" x14ac:dyDescent="0.3">
      <c r="A177" s="13" t="s">
        <v>46</v>
      </c>
      <c r="B177" s="16">
        <v>0.35</v>
      </c>
    </row>
    <row r="178" spans="1:2" x14ac:dyDescent="0.3">
      <c r="A178" s="13" t="s">
        <v>47</v>
      </c>
      <c r="B178" s="16">
        <v>0.09</v>
      </c>
    </row>
    <row r="179" spans="1:2" x14ac:dyDescent="0.3">
      <c r="A179" s="13" t="s">
        <v>47</v>
      </c>
      <c r="B179" s="16">
        <v>0.11249999999999999</v>
      </c>
    </row>
    <row r="180" spans="1:2" x14ac:dyDescent="0.3">
      <c r="A180" s="13" t="s">
        <v>47</v>
      </c>
      <c r="B180" s="16">
        <v>0.13499999999999998</v>
      </c>
    </row>
    <row r="181" spans="1:2" x14ac:dyDescent="0.3">
      <c r="A181" s="13" t="s">
        <v>47</v>
      </c>
      <c r="B181" s="16">
        <v>0.16874999999999998</v>
      </c>
    </row>
    <row r="182" spans="1:2" x14ac:dyDescent="0.3">
      <c r="A182" s="13" t="s">
        <v>47</v>
      </c>
      <c r="B182" s="16">
        <v>0.22499999999999998</v>
      </c>
    </row>
    <row r="183" spans="1:2" x14ac:dyDescent="0.3">
      <c r="A183" s="13" t="s">
        <v>47</v>
      </c>
      <c r="B183" s="16">
        <v>0.33749999999999991</v>
      </c>
    </row>
    <row r="184" spans="1:2" x14ac:dyDescent="0.3">
      <c r="A184" s="13" t="s">
        <v>47</v>
      </c>
      <c r="B184" s="16">
        <v>0.44999999999999996</v>
      </c>
    </row>
    <row r="185" spans="1:2" x14ac:dyDescent="0.3">
      <c r="A185" s="13" t="s">
        <v>47</v>
      </c>
      <c r="B185" s="16">
        <v>0.50624999999999998</v>
      </c>
    </row>
    <row r="186" spans="1:2" x14ac:dyDescent="0.3">
      <c r="A186" s="13" t="s">
        <v>47</v>
      </c>
      <c r="B186" s="16">
        <v>0.5625</v>
      </c>
    </row>
    <row r="187" spans="1:2" x14ac:dyDescent="0.3">
      <c r="A187" s="13" t="s">
        <v>47</v>
      </c>
      <c r="B187" s="16">
        <v>0.67499999999999993</v>
      </c>
    </row>
    <row r="188" spans="1:2" x14ac:dyDescent="0.3">
      <c r="A188" s="13" t="s">
        <v>47</v>
      </c>
      <c r="B188" s="16">
        <v>0.78749999999999987</v>
      </c>
    </row>
    <row r="189" spans="1:2" x14ac:dyDescent="0.3">
      <c r="A189" s="13" t="s">
        <v>47</v>
      </c>
      <c r="B189" s="16">
        <v>0.89999999999999991</v>
      </c>
    </row>
    <row r="190" spans="1:2" x14ac:dyDescent="0.3">
      <c r="A190" s="13" t="s">
        <v>47</v>
      </c>
      <c r="B190" s="16">
        <v>1.0125</v>
      </c>
    </row>
    <row r="191" spans="1:2" x14ac:dyDescent="0.3">
      <c r="A191" s="13" t="s">
        <v>47</v>
      </c>
      <c r="B191" s="16">
        <v>1.125</v>
      </c>
    </row>
    <row r="192" spans="1:2" x14ac:dyDescent="0.3">
      <c r="A192" s="13" t="s">
        <v>47</v>
      </c>
      <c r="B192" s="16">
        <v>1.2375</v>
      </c>
    </row>
    <row r="193" spans="1:2" x14ac:dyDescent="0.3">
      <c r="A193" s="13" t="s">
        <v>47</v>
      </c>
      <c r="B193" s="16">
        <v>1.35</v>
      </c>
    </row>
    <row r="194" spans="1:2" x14ac:dyDescent="0.3">
      <c r="A194" s="13" t="s">
        <v>48</v>
      </c>
      <c r="B194" s="16">
        <v>0.04</v>
      </c>
    </row>
    <row r="195" spans="1:2" x14ac:dyDescent="0.3">
      <c r="A195" s="13" t="s">
        <v>49</v>
      </c>
      <c r="B195" s="16">
        <v>7.0000000000000007E-2</v>
      </c>
    </row>
    <row r="196" spans="1:2" x14ac:dyDescent="0.3">
      <c r="A196" s="13" t="s">
        <v>50</v>
      </c>
      <c r="B196" s="16">
        <v>0.09</v>
      </c>
    </row>
    <row r="197" spans="1:2" x14ac:dyDescent="0.3">
      <c r="A197" s="13" t="s">
        <v>51</v>
      </c>
      <c r="B197" s="16">
        <v>3</v>
      </c>
    </row>
    <row r="198" spans="1:2" x14ac:dyDescent="0.3">
      <c r="A198" s="13" t="s">
        <v>52</v>
      </c>
      <c r="B198" s="16">
        <v>12</v>
      </c>
    </row>
    <row r="199" spans="1:2" x14ac:dyDescent="0.3">
      <c r="A199" s="13" t="s">
        <v>50</v>
      </c>
      <c r="B199" s="16">
        <v>0.9</v>
      </c>
    </row>
    <row r="200" spans="1:2" x14ac:dyDescent="0.3">
      <c r="A200" s="14" t="s">
        <v>53</v>
      </c>
      <c r="B200" s="16">
        <v>16</v>
      </c>
    </row>
    <row r="201" spans="1:2" x14ac:dyDescent="0.3">
      <c r="A201" s="14" t="s">
        <v>54</v>
      </c>
      <c r="B201" s="16">
        <v>0.4</v>
      </c>
    </row>
    <row r="202" spans="1:2" x14ac:dyDescent="0.3">
      <c r="A202" s="14" t="s">
        <v>55</v>
      </c>
      <c r="B202" s="16">
        <v>7.0000000000000007E-2</v>
      </c>
    </row>
    <row r="203" spans="1:2" x14ac:dyDescent="0.3">
      <c r="A203" s="14" t="s">
        <v>56</v>
      </c>
      <c r="B203" s="16">
        <v>3</v>
      </c>
    </row>
  </sheetData>
  <autoFilter ref="A1:B203" xr:uid="{00000000-0009-0000-0000-000006000000}"/>
  <pageMargins left="0.70866141732283472" right="0.70866141732283472" top="0.74803149606299213" bottom="0.74803149606299213" header="0.31496062992125984" footer="0.31496062992125984"/>
  <pageSetup scale="9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47"/>
  <sheetViews>
    <sheetView workbookViewId="0">
      <selection activeCell="A20" sqref="A20:B20"/>
    </sheetView>
  </sheetViews>
  <sheetFormatPr baseColWidth="10" defaultColWidth="11.42578125" defaultRowHeight="16.5" x14ac:dyDescent="0.3"/>
  <cols>
    <col min="1" max="1" width="39.7109375" style="1" customWidth="1"/>
    <col min="2" max="2" width="9.42578125" style="4" customWidth="1"/>
    <col min="3" max="16384" width="11.42578125" style="1"/>
  </cols>
  <sheetData>
    <row r="1" spans="1:2" x14ac:dyDescent="0.3">
      <c r="A1" s="9" t="s">
        <v>20</v>
      </c>
      <c r="B1" s="9" t="s">
        <v>1</v>
      </c>
    </row>
    <row r="2" spans="1:2" x14ac:dyDescent="0.3">
      <c r="A2" s="10" t="s">
        <v>21</v>
      </c>
      <c r="B2" s="11">
        <v>7</v>
      </c>
    </row>
    <row r="3" spans="1:2" x14ac:dyDescent="0.3">
      <c r="A3" s="10" t="s">
        <v>22</v>
      </c>
      <c r="B3" s="8">
        <v>12.5</v>
      </c>
    </row>
    <row r="4" spans="1:2" x14ac:dyDescent="0.3">
      <c r="A4" s="10" t="s">
        <v>23</v>
      </c>
      <c r="B4" s="8">
        <v>17</v>
      </c>
    </row>
    <row r="5" spans="1:2" x14ac:dyDescent="0.3">
      <c r="A5" s="10" t="s">
        <v>24</v>
      </c>
      <c r="B5" s="8">
        <v>22</v>
      </c>
    </row>
    <row r="6" spans="1:2" x14ac:dyDescent="0.3">
      <c r="A6" s="10" t="s">
        <v>25</v>
      </c>
      <c r="B6" s="8">
        <v>24</v>
      </c>
    </row>
    <row r="7" spans="1:2" x14ac:dyDescent="0.3">
      <c r="A7" s="10" t="s">
        <v>26</v>
      </c>
      <c r="B7" s="8">
        <v>24</v>
      </c>
    </row>
    <row r="8" spans="1:2" x14ac:dyDescent="0.3">
      <c r="A8" s="10" t="s">
        <v>27</v>
      </c>
      <c r="B8" s="8">
        <v>5</v>
      </c>
    </row>
    <row r="9" spans="1:2" x14ac:dyDescent="0.3">
      <c r="A9" s="10" t="s">
        <v>28</v>
      </c>
      <c r="B9" s="8">
        <v>8</v>
      </c>
    </row>
    <row r="10" spans="1:2" x14ac:dyDescent="0.3">
      <c r="A10" s="10" t="s">
        <v>29</v>
      </c>
      <c r="B10" s="8">
        <v>20</v>
      </c>
    </row>
    <row r="11" spans="1:2" x14ac:dyDescent="0.3">
      <c r="A11" s="10" t="s">
        <v>30</v>
      </c>
      <c r="B11" s="8">
        <v>15</v>
      </c>
    </row>
    <row r="12" spans="1:2" x14ac:dyDescent="0.3">
      <c r="A12" s="10" t="s">
        <v>31</v>
      </c>
      <c r="B12" s="8">
        <v>25</v>
      </c>
    </row>
    <row r="13" spans="1:2" x14ac:dyDescent="0.3">
      <c r="A13" s="10" t="s">
        <v>32</v>
      </c>
      <c r="B13" s="8">
        <v>8</v>
      </c>
    </row>
    <row r="14" spans="1:2" x14ac:dyDescent="0.3">
      <c r="A14" s="10" t="s">
        <v>33</v>
      </c>
      <c r="B14" s="8">
        <v>65</v>
      </c>
    </row>
    <row r="15" spans="1:2" x14ac:dyDescent="0.3">
      <c r="A15" s="10" t="s">
        <v>34</v>
      </c>
      <c r="B15" s="8">
        <v>0.9</v>
      </c>
    </row>
    <row r="16" spans="1:2" x14ac:dyDescent="0.3">
      <c r="A16" s="10" t="s">
        <v>35</v>
      </c>
      <c r="B16" s="8">
        <v>0.17</v>
      </c>
    </row>
    <row r="17" spans="1:2" x14ac:dyDescent="0.3">
      <c r="A17" s="10" t="s">
        <v>36</v>
      </c>
      <c r="B17" s="8">
        <v>16</v>
      </c>
    </row>
    <row r="18" spans="1:2" x14ac:dyDescent="0.3">
      <c r="A18" s="10" t="s">
        <v>37</v>
      </c>
      <c r="B18" s="8"/>
    </row>
    <row r="19" spans="1:2" x14ac:dyDescent="0.3">
      <c r="A19" s="10" t="s">
        <v>186</v>
      </c>
      <c r="B19" s="8">
        <v>0.68</v>
      </c>
    </row>
    <row r="20" spans="1:2" x14ac:dyDescent="0.3">
      <c r="A20" s="111"/>
      <c r="B20" s="112"/>
    </row>
    <row r="647" spans="2:2" x14ac:dyDescent="0.3">
      <c r="B647" s="1"/>
    </row>
  </sheetData>
  <mergeCells count="1">
    <mergeCell ref="A20:B2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56"/>
  <sheetViews>
    <sheetView workbookViewId="0">
      <selection activeCell="A131" sqref="A131"/>
    </sheetView>
  </sheetViews>
  <sheetFormatPr baseColWidth="10" defaultColWidth="11.42578125" defaultRowHeight="16.5" x14ac:dyDescent="0.3"/>
  <cols>
    <col min="1" max="1" width="26.42578125" style="1" customWidth="1"/>
    <col min="2" max="2" width="9.85546875" style="1" customWidth="1"/>
    <col min="3" max="3" width="16.28515625" customWidth="1"/>
    <col min="4" max="4" width="12.28515625" customWidth="1"/>
  </cols>
  <sheetData>
    <row r="1" spans="1:2" ht="34.5" customHeight="1" x14ac:dyDescent="0.3">
      <c r="A1" s="18" t="s">
        <v>183</v>
      </c>
      <c r="B1" s="12" t="s">
        <v>0</v>
      </c>
    </row>
    <row r="2" spans="1:2" x14ac:dyDescent="0.25">
      <c r="A2" s="5" t="s">
        <v>71</v>
      </c>
      <c r="B2" s="19">
        <v>26</v>
      </c>
    </row>
    <row r="3" spans="1:2" x14ac:dyDescent="0.25">
      <c r="A3" s="5" t="s">
        <v>72</v>
      </c>
      <c r="B3" s="19">
        <v>14</v>
      </c>
    </row>
    <row r="4" spans="1:2" x14ac:dyDescent="0.25">
      <c r="A4" s="5" t="s">
        <v>73</v>
      </c>
      <c r="B4" s="19">
        <v>17.333333333333336</v>
      </c>
    </row>
    <row r="5" spans="1:2" x14ac:dyDescent="0.3">
      <c r="A5" s="2" t="s">
        <v>75</v>
      </c>
      <c r="B5" s="20">
        <v>34</v>
      </c>
    </row>
    <row r="6" spans="1:2" x14ac:dyDescent="0.3">
      <c r="A6" s="2" t="s">
        <v>74</v>
      </c>
      <c r="B6" s="20">
        <v>33.716666666666669</v>
      </c>
    </row>
    <row r="7" spans="1:2" x14ac:dyDescent="0.3">
      <c r="A7" s="2" t="s">
        <v>76</v>
      </c>
      <c r="B7" s="20">
        <v>33.433333333333337</v>
      </c>
    </row>
    <row r="8" spans="1:2" x14ac:dyDescent="0.3">
      <c r="A8" s="2" t="s">
        <v>77</v>
      </c>
      <c r="B8" s="20">
        <v>33.150000000000006</v>
      </c>
    </row>
    <row r="9" spans="1:2" x14ac:dyDescent="0.3">
      <c r="A9" s="2" t="s">
        <v>78</v>
      </c>
      <c r="B9" s="20">
        <v>32.866666666666674</v>
      </c>
    </row>
    <row r="10" spans="1:2" x14ac:dyDescent="0.3">
      <c r="A10" s="2" t="s">
        <v>79</v>
      </c>
      <c r="B10" s="20">
        <v>32.583333333333343</v>
      </c>
    </row>
    <row r="11" spans="1:2" x14ac:dyDescent="0.3">
      <c r="A11" s="2" t="s">
        <v>80</v>
      </c>
      <c r="B11" s="20">
        <v>32.300000000000011</v>
      </c>
    </row>
    <row r="12" spans="1:2" x14ac:dyDescent="0.3">
      <c r="A12" s="2" t="s">
        <v>81</v>
      </c>
      <c r="B12" s="20">
        <v>32.01666666666668</v>
      </c>
    </row>
    <row r="13" spans="1:2" x14ac:dyDescent="0.3">
      <c r="A13" s="2" t="s">
        <v>82</v>
      </c>
      <c r="B13" s="20">
        <v>31.733333333333352</v>
      </c>
    </row>
    <row r="14" spans="1:2" x14ac:dyDescent="0.3">
      <c r="A14" s="2" t="s">
        <v>83</v>
      </c>
      <c r="B14" s="20">
        <v>31.450000000000017</v>
      </c>
    </row>
    <row r="15" spans="1:2" x14ac:dyDescent="0.3">
      <c r="A15" s="2" t="s">
        <v>84</v>
      </c>
      <c r="B15" s="20">
        <v>31.166666666666682</v>
      </c>
    </row>
    <row r="16" spans="1:2" x14ac:dyDescent="0.3">
      <c r="A16" s="2" t="s">
        <v>85</v>
      </c>
      <c r="B16" s="20">
        <v>30.883333333333347</v>
      </c>
    </row>
    <row r="17" spans="1:2" x14ac:dyDescent="0.3">
      <c r="A17" s="2" t="s">
        <v>86</v>
      </c>
      <c r="B17" s="20">
        <v>30.600000000000016</v>
      </c>
    </row>
    <row r="18" spans="1:2" x14ac:dyDescent="0.3">
      <c r="A18" s="2" t="s">
        <v>87</v>
      </c>
      <c r="B18" s="20">
        <v>30.316666666666681</v>
      </c>
    </row>
    <row r="19" spans="1:2" x14ac:dyDescent="0.3">
      <c r="A19" s="2" t="s">
        <v>88</v>
      </c>
      <c r="B19" s="20">
        <v>30.033333333333346</v>
      </c>
    </row>
    <row r="20" spans="1:2" x14ac:dyDescent="0.3">
      <c r="A20" s="2" t="s">
        <v>89</v>
      </c>
      <c r="B20" s="20">
        <v>29.750000000000011</v>
      </c>
    </row>
    <row r="21" spans="1:2" x14ac:dyDescent="0.3">
      <c r="A21" s="2" t="s">
        <v>90</v>
      </c>
      <c r="B21" s="20">
        <v>29.466666666666679</v>
      </c>
    </row>
    <row r="22" spans="1:2" x14ac:dyDescent="0.3">
      <c r="A22" s="2" t="s">
        <v>91</v>
      </c>
      <c r="B22" s="20">
        <v>29.183333333333344</v>
      </c>
    </row>
    <row r="23" spans="1:2" x14ac:dyDescent="0.3">
      <c r="A23" s="2" t="s">
        <v>92</v>
      </c>
      <c r="B23" s="20">
        <v>28.900000000000009</v>
      </c>
    </row>
    <row r="24" spans="1:2" x14ac:dyDescent="0.3">
      <c r="A24" s="2" t="s">
        <v>93</v>
      </c>
      <c r="B24" s="20">
        <v>28.616666666666674</v>
      </c>
    </row>
    <row r="25" spans="1:2" x14ac:dyDescent="0.3">
      <c r="A25" s="2" t="s">
        <v>94</v>
      </c>
      <c r="B25" s="20">
        <v>28.333333333333343</v>
      </c>
    </row>
    <row r="26" spans="1:2" x14ac:dyDescent="0.3">
      <c r="A26" s="2" t="s">
        <v>95</v>
      </c>
      <c r="B26" s="20">
        <v>28.050000000000011</v>
      </c>
    </row>
    <row r="27" spans="1:2" x14ac:dyDescent="0.3">
      <c r="A27" s="2" t="s">
        <v>96</v>
      </c>
      <c r="B27" s="20">
        <v>27.766666666666676</v>
      </c>
    </row>
    <row r="28" spans="1:2" x14ac:dyDescent="0.3">
      <c r="A28" s="2" t="s">
        <v>97</v>
      </c>
      <c r="B28" s="20">
        <v>27.483333333333341</v>
      </c>
    </row>
    <row r="29" spans="1:2" x14ac:dyDescent="0.3">
      <c r="A29" s="2" t="s">
        <v>98</v>
      </c>
      <c r="B29" s="20">
        <v>27.200000000000006</v>
      </c>
    </row>
    <row r="30" spans="1:2" x14ac:dyDescent="0.3">
      <c r="A30" s="2" t="s">
        <v>99</v>
      </c>
      <c r="B30" s="20">
        <v>26.916666666666675</v>
      </c>
    </row>
    <row r="31" spans="1:2" x14ac:dyDescent="0.3">
      <c r="A31" s="2" t="s">
        <v>100</v>
      </c>
      <c r="B31" s="20">
        <v>26.63333333333334</v>
      </c>
    </row>
    <row r="32" spans="1:2" x14ac:dyDescent="0.3">
      <c r="A32" s="2" t="s">
        <v>101</v>
      </c>
      <c r="B32" s="20">
        <v>26.350000000000012</v>
      </c>
    </row>
    <row r="33" spans="1:2" x14ac:dyDescent="0.3">
      <c r="A33" s="2" t="s">
        <v>102</v>
      </c>
      <c r="B33" s="20">
        <v>26.066666666666681</v>
      </c>
    </row>
    <row r="34" spans="1:2" x14ac:dyDescent="0.3">
      <c r="A34" s="2" t="s">
        <v>103</v>
      </c>
      <c r="B34" s="20">
        <v>25.783333333333349</v>
      </c>
    </row>
    <row r="35" spans="1:2" x14ac:dyDescent="0.3">
      <c r="A35" s="2" t="s">
        <v>104</v>
      </c>
      <c r="B35" s="20">
        <v>25.500000000000014</v>
      </c>
    </row>
    <row r="36" spans="1:2" x14ac:dyDescent="0.3">
      <c r="A36" s="2" t="s">
        <v>105</v>
      </c>
      <c r="B36" s="20">
        <v>25.216666666666679</v>
      </c>
    </row>
    <row r="37" spans="1:2" x14ac:dyDescent="0.3">
      <c r="A37" s="2" t="s">
        <v>106</v>
      </c>
      <c r="B37" s="20">
        <v>24.933333333333348</v>
      </c>
    </row>
    <row r="38" spans="1:2" x14ac:dyDescent="0.3">
      <c r="A38" s="2" t="s">
        <v>107</v>
      </c>
      <c r="B38" s="20">
        <v>24.650000000000013</v>
      </c>
    </row>
    <row r="39" spans="1:2" x14ac:dyDescent="0.3">
      <c r="A39" s="2" t="s">
        <v>109</v>
      </c>
      <c r="B39" s="20">
        <v>24.366666666666681</v>
      </c>
    </row>
    <row r="40" spans="1:2" x14ac:dyDescent="0.3">
      <c r="A40" s="2" t="s">
        <v>110</v>
      </c>
      <c r="B40" s="20">
        <v>24.08333333333335</v>
      </c>
    </row>
    <row r="41" spans="1:2" x14ac:dyDescent="0.3">
      <c r="A41" s="2" t="s">
        <v>111</v>
      </c>
      <c r="B41" s="20">
        <v>23.800000000000018</v>
      </c>
    </row>
    <row r="42" spans="1:2" x14ac:dyDescent="0.3">
      <c r="A42" s="2" t="s">
        <v>112</v>
      </c>
      <c r="B42" s="20">
        <v>23.516666666666683</v>
      </c>
    </row>
    <row r="43" spans="1:2" x14ac:dyDescent="0.3">
      <c r="A43" s="2" t="s">
        <v>113</v>
      </c>
      <c r="B43" s="20">
        <v>23.233333333333348</v>
      </c>
    </row>
    <row r="44" spans="1:2" x14ac:dyDescent="0.3">
      <c r="A44" s="2" t="s">
        <v>108</v>
      </c>
      <c r="B44" s="20">
        <v>22.950000000000017</v>
      </c>
    </row>
    <row r="45" spans="1:2" x14ac:dyDescent="0.3">
      <c r="A45" s="2" t="s">
        <v>114</v>
      </c>
      <c r="B45" s="20">
        <v>22.666666666666682</v>
      </c>
    </row>
    <row r="46" spans="1:2" x14ac:dyDescent="0.3">
      <c r="A46" s="2" t="s">
        <v>115</v>
      </c>
      <c r="B46" s="20">
        <v>22.383333333333347</v>
      </c>
    </row>
    <row r="47" spans="1:2" x14ac:dyDescent="0.3">
      <c r="A47" s="2" t="s">
        <v>116</v>
      </c>
      <c r="B47" s="20">
        <v>22.100000000000012</v>
      </c>
    </row>
    <row r="48" spans="1:2" x14ac:dyDescent="0.3">
      <c r="A48" s="2" t="s">
        <v>117</v>
      </c>
      <c r="B48" s="20">
        <v>21.816666666666681</v>
      </c>
    </row>
    <row r="49" spans="1:2" x14ac:dyDescent="0.3">
      <c r="A49" s="2" t="s">
        <v>118</v>
      </c>
      <c r="B49" s="20">
        <v>21.533333333333346</v>
      </c>
    </row>
    <row r="50" spans="1:2" x14ac:dyDescent="0.3">
      <c r="A50" s="2" t="s">
        <v>119</v>
      </c>
      <c r="B50" s="20">
        <v>21.250000000000011</v>
      </c>
    </row>
    <row r="51" spans="1:2" x14ac:dyDescent="0.3">
      <c r="A51" s="2" t="s">
        <v>120</v>
      </c>
      <c r="B51" s="20">
        <v>20.966666666666679</v>
      </c>
    </row>
    <row r="52" spans="1:2" x14ac:dyDescent="0.3">
      <c r="A52" s="2" t="s">
        <v>121</v>
      </c>
      <c r="B52" s="20">
        <v>20.683333333333348</v>
      </c>
    </row>
    <row r="53" spans="1:2" x14ac:dyDescent="0.3">
      <c r="A53" s="2" t="s">
        <v>122</v>
      </c>
      <c r="B53" s="20">
        <v>20.400000000000013</v>
      </c>
    </row>
    <row r="54" spans="1:2" x14ac:dyDescent="0.3">
      <c r="A54" s="2" t="s">
        <v>123</v>
      </c>
      <c r="B54" s="20">
        <v>20.116666666666681</v>
      </c>
    </row>
    <row r="55" spans="1:2" x14ac:dyDescent="0.3">
      <c r="A55" s="2" t="s">
        <v>124</v>
      </c>
      <c r="B55" s="20">
        <v>19.833333333333346</v>
      </c>
    </row>
    <row r="56" spans="1:2" x14ac:dyDescent="0.3">
      <c r="A56" s="2" t="s">
        <v>125</v>
      </c>
      <c r="B56" s="20">
        <v>19.550000000000015</v>
      </c>
    </row>
    <row r="57" spans="1:2" x14ac:dyDescent="0.3">
      <c r="A57" s="2" t="s">
        <v>126</v>
      </c>
      <c r="B57" s="20">
        <v>19.266666666666683</v>
      </c>
    </row>
    <row r="58" spans="1:2" x14ac:dyDescent="0.3">
      <c r="A58" s="2" t="s">
        <v>127</v>
      </c>
      <c r="B58" s="20">
        <v>18.983333333333352</v>
      </c>
    </row>
    <row r="59" spans="1:2" x14ac:dyDescent="0.3">
      <c r="A59" s="2" t="s">
        <v>128</v>
      </c>
      <c r="B59" s="20">
        <v>18.700000000000017</v>
      </c>
    </row>
    <row r="60" spans="1:2" x14ac:dyDescent="0.3">
      <c r="A60" s="2" t="s">
        <v>129</v>
      </c>
      <c r="B60" s="20">
        <v>18.416666666666686</v>
      </c>
    </row>
    <row r="61" spans="1:2" x14ac:dyDescent="0.3">
      <c r="A61" s="2" t="s">
        <v>130</v>
      </c>
      <c r="B61" s="20">
        <v>18.133333333333351</v>
      </c>
    </row>
    <row r="62" spans="1:2" x14ac:dyDescent="0.3">
      <c r="A62" s="2" t="s">
        <v>131</v>
      </c>
      <c r="B62" s="20">
        <v>17.850000000000016</v>
      </c>
    </row>
    <row r="63" spans="1:2" x14ac:dyDescent="0.3">
      <c r="A63" s="2" t="s">
        <v>132</v>
      </c>
      <c r="B63" s="20">
        <v>17.566666666666681</v>
      </c>
    </row>
    <row r="64" spans="1:2" x14ac:dyDescent="0.3">
      <c r="A64" s="2" t="s">
        <v>129</v>
      </c>
      <c r="B64" s="20">
        <v>17.283333333333346</v>
      </c>
    </row>
    <row r="65" spans="1:2" x14ac:dyDescent="0.3">
      <c r="A65" s="2" t="s">
        <v>130</v>
      </c>
      <c r="B65" s="20">
        <v>17.000000000000011</v>
      </c>
    </row>
    <row r="66" spans="1:2" x14ac:dyDescent="0.3">
      <c r="A66" s="2" t="s">
        <v>134</v>
      </c>
      <c r="B66" s="20">
        <v>16.716666666666676</v>
      </c>
    </row>
    <row r="67" spans="1:2" x14ac:dyDescent="0.3">
      <c r="A67" s="2" t="s">
        <v>133</v>
      </c>
      <c r="B67" s="20">
        <v>16.433333333333341</v>
      </c>
    </row>
    <row r="68" spans="1:2" x14ac:dyDescent="0.3">
      <c r="A68" s="2" t="s">
        <v>136</v>
      </c>
      <c r="B68" s="20">
        <v>16.150000000000009</v>
      </c>
    </row>
    <row r="69" spans="1:2" x14ac:dyDescent="0.3">
      <c r="A69" s="2" t="s">
        <v>135</v>
      </c>
      <c r="B69" s="20">
        <v>15.86666666666668</v>
      </c>
    </row>
    <row r="70" spans="1:2" x14ac:dyDescent="0.3">
      <c r="A70" s="2" t="s">
        <v>137</v>
      </c>
      <c r="B70" s="20">
        <v>15.583333333333345</v>
      </c>
    </row>
    <row r="71" spans="1:2" x14ac:dyDescent="0.3">
      <c r="A71" s="2" t="s">
        <v>138</v>
      </c>
      <c r="B71" s="20">
        <v>15.300000000000011</v>
      </c>
    </row>
    <row r="72" spans="1:2" x14ac:dyDescent="0.3">
      <c r="A72" s="2" t="s">
        <v>139</v>
      </c>
      <c r="B72" s="20">
        <v>15.016666666666678</v>
      </c>
    </row>
    <row r="73" spans="1:2" x14ac:dyDescent="0.3">
      <c r="A73" s="2" t="s">
        <v>140</v>
      </c>
      <c r="B73" s="20">
        <v>14.733333333333345</v>
      </c>
    </row>
    <row r="74" spans="1:2" x14ac:dyDescent="0.3">
      <c r="A74" s="2" t="s">
        <v>141</v>
      </c>
      <c r="B74" s="20">
        <v>14.450000000000012</v>
      </c>
    </row>
    <row r="75" spans="1:2" x14ac:dyDescent="0.3">
      <c r="A75" s="2" t="s">
        <v>142</v>
      </c>
      <c r="B75" s="20">
        <v>14.166666666666679</v>
      </c>
    </row>
    <row r="76" spans="1:2" x14ac:dyDescent="0.3">
      <c r="A76" s="2" t="s">
        <v>143</v>
      </c>
      <c r="B76" s="20">
        <v>13.883333333333345</v>
      </c>
    </row>
    <row r="77" spans="1:2" x14ac:dyDescent="0.3">
      <c r="A77" s="2" t="s">
        <v>144</v>
      </c>
      <c r="B77" s="20">
        <v>13.600000000000012</v>
      </c>
    </row>
    <row r="78" spans="1:2" x14ac:dyDescent="0.3">
      <c r="A78" s="2" t="s">
        <v>145</v>
      </c>
      <c r="B78" s="20">
        <v>13.316666666666679</v>
      </c>
    </row>
    <row r="79" spans="1:2" x14ac:dyDescent="0.3">
      <c r="A79" s="2" t="s">
        <v>146</v>
      </c>
      <c r="B79" s="20">
        <v>13.033333333333347</v>
      </c>
    </row>
    <row r="80" spans="1:2" x14ac:dyDescent="0.3">
      <c r="A80" s="2" t="s">
        <v>147</v>
      </c>
      <c r="B80" s="20">
        <v>12.750000000000014</v>
      </c>
    </row>
    <row r="81" spans="1:2" x14ac:dyDescent="0.3">
      <c r="A81" s="2" t="s">
        <v>148</v>
      </c>
      <c r="B81" s="20">
        <v>12.466666666666681</v>
      </c>
    </row>
    <row r="82" spans="1:2" x14ac:dyDescent="0.3">
      <c r="A82" s="2" t="s">
        <v>149</v>
      </c>
      <c r="B82" s="20">
        <v>12.183333333333346</v>
      </c>
    </row>
    <row r="83" spans="1:2" x14ac:dyDescent="0.3">
      <c r="A83" s="2" t="s">
        <v>150</v>
      </c>
      <c r="B83" s="20">
        <v>11.900000000000013</v>
      </c>
    </row>
    <row r="84" spans="1:2" x14ac:dyDescent="0.3">
      <c r="A84" s="2" t="s">
        <v>151</v>
      </c>
      <c r="B84" s="20">
        <v>11.616666666666678</v>
      </c>
    </row>
    <row r="85" spans="1:2" x14ac:dyDescent="0.3">
      <c r="A85" s="2" t="s">
        <v>152</v>
      </c>
      <c r="B85" s="20">
        <v>11.333333333333345</v>
      </c>
    </row>
    <row r="86" spans="1:2" x14ac:dyDescent="0.3">
      <c r="A86" s="2" t="s">
        <v>153</v>
      </c>
      <c r="B86" s="20">
        <v>11.05000000000001</v>
      </c>
    </row>
    <row r="87" spans="1:2" x14ac:dyDescent="0.3">
      <c r="A87" s="2" t="s">
        <v>154</v>
      </c>
      <c r="B87" s="20">
        <v>10.766666666666675</v>
      </c>
    </row>
    <row r="88" spans="1:2" x14ac:dyDescent="0.3">
      <c r="A88" s="2" t="s">
        <v>155</v>
      </c>
      <c r="B88" s="20">
        <v>10.483333333333343</v>
      </c>
    </row>
    <row r="89" spans="1:2" x14ac:dyDescent="0.3">
      <c r="A89" s="2" t="s">
        <v>156</v>
      </c>
      <c r="B89" s="20">
        <v>10.200000000000008</v>
      </c>
    </row>
    <row r="90" spans="1:2" x14ac:dyDescent="0.3">
      <c r="A90" s="2" t="s">
        <v>157</v>
      </c>
      <c r="B90" s="20">
        <v>9.916666666666675</v>
      </c>
    </row>
    <row r="91" spans="1:2" x14ac:dyDescent="0.3">
      <c r="A91" s="2" t="s">
        <v>158</v>
      </c>
      <c r="B91" s="20">
        <v>9.6333333333333435</v>
      </c>
    </row>
    <row r="92" spans="1:2" x14ac:dyDescent="0.3">
      <c r="A92" s="2" t="s">
        <v>159</v>
      </c>
      <c r="B92" s="20">
        <v>9.3500000000000103</v>
      </c>
    </row>
    <row r="93" spans="1:2" x14ac:dyDescent="0.3">
      <c r="A93" s="2" t="s">
        <v>160</v>
      </c>
      <c r="B93" s="20">
        <v>9.0666666666666753</v>
      </c>
    </row>
    <row r="94" spans="1:2" x14ac:dyDescent="0.3">
      <c r="A94" s="2" t="s">
        <v>161</v>
      </c>
      <c r="B94" s="20">
        <v>8.7833333333333421</v>
      </c>
    </row>
    <row r="95" spans="1:2" x14ac:dyDescent="0.3">
      <c r="A95" s="2" t="s">
        <v>162</v>
      </c>
      <c r="B95" s="20">
        <v>8.5000000000000089</v>
      </c>
    </row>
    <row r="96" spans="1:2" x14ac:dyDescent="0.3">
      <c r="A96" s="2" t="s">
        <v>163</v>
      </c>
      <c r="B96" s="20">
        <v>8.2166666666666757</v>
      </c>
    </row>
    <row r="97" spans="1:2" x14ac:dyDescent="0.3">
      <c r="A97" s="2" t="s">
        <v>164</v>
      </c>
      <c r="B97" s="20">
        <v>7.9333333333333433</v>
      </c>
    </row>
    <row r="98" spans="1:2" x14ac:dyDescent="0.3">
      <c r="A98" s="2" t="s">
        <v>165</v>
      </c>
      <c r="B98" s="20">
        <v>7.6500000000000092</v>
      </c>
    </row>
    <row r="99" spans="1:2" x14ac:dyDescent="0.3">
      <c r="A99" s="2" t="s">
        <v>167</v>
      </c>
      <c r="B99" s="20">
        <v>7.3666666666666751</v>
      </c>
    </row>
    <row r="100" spans="1:2" x14ac:dyDescent="0.3">
      <c r="A100" s="2" t="s">
        <v>166</v>
      </c>
      <c r="B100" s="20">
        <v>7.0833333333333419</v>
      </c>
    </row>
    <row r="101" spans="1:2" x14ac:dyDescent="0.3">
      <c r="A101" s="2" t="s">
        <v>168</v>
      </c>
      <c r="B101" s="20">
        <v>6.8000000000000078</v>
      </c>
    </row>
    <row r="102" spans="1:2" x14ac:dyDescent="0.3">
      <c r="A102" s="2" t="s">
        <v>169</v>
      </c>
      <c r="B102" s="20">
        <v>6.5166666666666746</v>
      </c>
    </row>
    <row r="103" spans="1:2" x14ac:dyDescent="0.3">
      <c r="A103" s="2" t="s">
        <v>170</v>
      </c>
      <c r="B103" s="20">
        <v>6.2333333333333405</v>
      </c>
    </row>
    <row r="104" spans="1:2" x14ac:dyDescent="0.3">
      <c r="A104" s="2" t="s">
        <v>171</v>
      </c>
      <c r="B104" s="20">
        <v>5.9500000000000064</v>
      </c>
    </row>
    <row r="105" spans="1:2" x14ac:dyDescent="0.3">
      <c r="A105" s="2" t="s">
        <v>172</v>
      </c>
      <c r="B105" s="20">
        <v>5.6666666666666723</v>
      </c>
    </row>
    <row r="106" spans="1:2" x14ac:dyDescent="0.3">
      <c r="A106" s="2" t="s">
        <v>173</v>
      </c>
      <c r="B106" s="20">
        <v>5.3833333333333382</v>
      </c>
    </row>
    <row r="107" spans="1:2" x14ac:dyDescent="0.3">
      <c r="A107" s="2" t="s">
        <v>174</v>
      </c>
      <c r="B107" s="20">
        <v>5.100000000000005</v>
      </c>
    </row>
    <row r="108" spans="1:2" x14ac:dyDescent="0.3">
      <c r="A108" s="2" t="s">
        <v>178</v>
      </c>
      <c r="B108" s="20">
        <v>4.8166666666666718</v>
      </c>
    </row>
    <row r="109" spans="1:2" x14ac:dyDescent="0.3">
      <c r="A109" s="2" t="s">
        <v>175</v>
      </c>
      <c r="B109" s="20">
        <v>4.5333333333333377</v>
      </c>
    </row>
    <row r="110" spans="1:2" x14ac:dyDescent="0.3">
      <c r="A110" s="2" t="s">
        <v>176</v>
      </c>
      <c r="B110" s="20">
        <v>4.2500000000000036</v>
      </c>
    </row>
    <row r="111" spans="1:2" x14ac:dyDescent="0.3">
      <c r="A111" s="2" t="s">
        <v>177</v>
      </c>
      <c r="B111" s="20">
        <v>3.9666666666666703</v>
      </c>
    </row>
    <row r="112" spans="1:2" x14ac:dyDescent="0.3">
      <c r="A112" s="2" t="s">
        <v>179</v>
      </c>
      <c r="B112" s="20">
        <v>3.6833333333333313</v>
      </c>
    </row>
    <row r="113" spans="1:2" x14ac:dyDescent="0.3">
      <c r="A113" s="2" t="s">
        <v>180</v>
      </c>
      <c r="B113" s="20">
        <v>3.3999999999999977</v>
      </c>
    </row>
    <row r="114" spans="1:2" x14ac:dyDescent="0.3">
      <c r="A114" s="2" t="s">
        <v>181</v>
      </c>
      <c r="B114" s="20">
        <v>3.116666666666664</v>
      </c>
    </row>
    <row r="115" spans="1:2" x14ac:dyDescent="0.3">
      <c r="A115" s="2" t="s">
        <v>182</v>
      </c>
      <c r="B115" s="20">
        <v>2.8333333333333299</v>
      </c>
    </row>
    <row r="117" spans="1:2" ht="15" customHeight="1" x14ac:dyDescent="0.25">
      <c r="A117" s="17" t="s">
        <v>20</v>
      </c>
      <c r="B117" s="15" t="s">
        <v>57</v>
      </c>
    </row>
    <row r="118" spans="1:2" ht="15" customHeight="1" x14ac:dyDescent="0.3">
      <c r="A118" s="13" t="s">
        <v>41</v>
      </c>
      <c r="B118" s="16">
        <v>0.33</v>
      </c>
    </row>
    <row r="119" spans="1:2" x14ac:dyDescent="0.3">
      <c r="A119" s="13" t="s">
        <v>42</v>
      </c>
      <c r="B119" s="16">
        <v>2.5000000000000001E-2</v>
      </c>
    </row>
    <row r="120" spans="1:2" x14ac:dyDescent="0.3">
      <c r="A120" s="13" t="s">
        <v>42</v>
      </c>
      <c r="B120" s="16">
        <v>0.05</v>
      </c>
    </row>
    <row r="121" spans="1:2" x14ac:dyDescent="0.3">
      <c r="A121" s="13" t="s">
        <v>42</v>
      </c>
      <c r="B121" s="16">
        <v>0.1</v>
      </c>
    </row>
    <row r="122" spans="1:2" x14ac:dyDescent="0.3">
      <c r="A122" s="13" t="s">
        <v>43</v>
      </c>
      <c r="B122" s="16">
        <v>0.7</v>
      </c>
    </row>
    <row r="123" spans="1:2" x14ac:dyDescent="0.3">
      <c r="A123" s="13" t="s">
        <v>44</v>
      </c>
      <c r="B123" s="16">
        <v>40</v>
      </c>
    </row>
    <row r="124" spans="1:2" x14ac:dyDescent="0.3">
      <c r="A124" s="13" t="s">
        <v>44</v>
      </c>
      <c r="B124" s="16">
        <v>33.333333333333336</v>
      </c>
    </row>
    <row r="125" spans="1:2" x14ac:dyDescent="0.3">
      <c r="A125" s="13" t="s">
        <v>44</v>
      </c>
      <c r="B125" s="16">
        <v>26.666666666666668</v>
      </c>
    </row>
    <row r="126" spans="1:2" x14ac:dyDescent="0.3">
      <c r="A126" s="13" t="s">
        <v>44</v>
      </c>
      <c r="B126" s="16">
        <v>20</v>
      </c>
    </row>
    <row r="127" spans="1:2" x14ac:dyDescent="0.3">
      <c r="A127" s="13" t="s">
        <v>44</v>
      </c>
      <c r="B127" s="16">
        <v>13.333333333333334</v>
      </c>
    </row>
    <row r="128" spans="1:2" x14ac:dyDescent="0.3">
      <c r="A128" s="13" t="s">
        <v>44</v>
      </c>
      <c r="B128" s="16">
        <v>6.666666666666667</v>
      </c>
    </row>
    <row r="129" spans="1:2" x14ac:dyDescent="0.3">
      <c r="A129" s="13" t="s">
        <v>45</v>
      </c>
      <c r="B129" s="16">
        <v>7.0000000000000007E-2</v>
      </c>
    </row>
    <row r="130" spans="1:2" x14ac:dyDescent="0.3">
      <c r="A130" s="13" t="s">
        <v>46</v>
      </c>
      <c r="B130" s="16">
        <v>0.35</v>
      </c>
    </row>
    <row r="131" spans="1:2" x14ac:dyDescent="0.3">
      <c r="A131" s="13" t="s">
        <v>47</v>
      </c>
      <c r="B131" s="16">
        <v>0.09</v>
      </c>
    </row>
    <row r="132" spans="1:2" x14ac:dyDescent="0.3">
      <c r="A132" s="13" t="s">
        <v>47</v>
      </c>
      <c r="B132" s="16">
        <v>0.11249999999999999</v>
      </c>
    </row>
    <row r="133" spans="1:2" x14ac:dyDescent="0.3">
      <c r="A133" s="13" t="s">
        <v>47</v>
      </c>
      <c r="B133" s="16">
        <v>0.13499999999999998</v>
      </c>
    </row>
    <row r="134" spans="1:2" x14ac:dyDescent="0.3">
      <c r="A134" s="13" t="s">
        <v>47</v>
      </c>
      <c r="B134" s="16">
        <v>0.16874999999999998</v>
      </c>
    </row>
    <row r="135" spans="1:2" x14ac:dyDescent="0.3">
      <c r="A135" s="13" t="s">
        <v>47</v>
      </c>
      <c r="B135" s="16">
        <v>0.22499999999999998</v>
      </c>
    </row>
    <row r="136" spans="1:2" x14ac:dyDescent="0.3">
      <c r="A136" s="13" t="s">
        <v>47</v>
      </c>
      <c r="B136" s="16">
        <v>0.33749999999999991</v>
      </c>
    </row>
    <row r="137" spans="1:2" x14ac:dyDescent="0.3">
      <c r="A137" s="13" t="s">
        <v>47</v>
      </c>
      <c r="B137" s="16">
        <v>0.44999999999999996</v>
      </c>
    </row>
    <row r="138" spans="1:2" x14ac:dyDescent="0.3">
      <c r="A138" s="13" t="s">
        <v>47</v>
      </c>
      <c r="B138" s="16">
        <v>0.50624999999999998</v>
      </c>
    </row>
    <row r="139" spans="1:2" x14ac:dyDescent="0.3">
      <c r="A139" s="13" t="s">
        <v>47</v>
      </c>
      <c r="B139" s="16">
        <v>0.5625</v>
      </c>
    </row>
    <row r="140" spans="1:2" x14ac:dyDescent="0.3">
      <c r="A140" s="13" t="s">
        <v>47</v>
      </c>
      <c r="B140" s="16">
        <v>0.67499999999999993</v>
      </c>
    </row>
    <row r="141" spans="1:2" x14ac:dyDescent="0.3">
      <c r="A141" s="13" t="s">
        <v>47</v>
      </c>
      <c r="B141" s="16">
        <v>0.78749999999999987</v>
      </c>
    </row>
    <row r="142" spans="1:2" x14ac:dyDescent="0.3">
      <c r="A142" s="13" t="s">
        <v>47</v>
      </c>
      <c r="B142" s="16">
        <v>0.89999999999999991</v>
      </c>
    </row>
    <row r="143" spans="1:2" x14ac:dyDescent="0.3">
      <c r="A143" s="13" t="s">
        <v>47</v>
      </c>
      <c r="B143" s="16">
        <v>1.0125</v>
      </c>
    </row>
    <row r="144" spans="1:2" x14ac:dyDescent="0.3">
      <c r="A144" s="13" t="s">
        <v>47</v>
      </c>
      <c r="B144" s="16">
        <v>1.125</v>
      </c>
    </row>
    <row r="145" spans="1:2" x14ac:dyDescent="0.3">
      <c r="A145" s="13" t="s">
        <v>47</v>
      </c>
      <c r="B145" s="16">
        <v>1.2375</v>
      </c>
    </row>
    <row r="146" spans="1:2" x14ac:dyDescent="0.3">
      <c r="A146" s="13" t="s">
        <v>47</v>
      </c>
      <c r="B146" s="16">
        <v>1.35</v>
      </c>
    </row>
    <row r="147" spans="1:2" x14ac:dyDescent="0.3">
      <c r="A147" s="13" t="s">
        <v>48</v>
      </c>
      <c r="B147" s="16">
        <v>0.04</v>
      </c>
    </row>
    <row r="148" spans="1:2" x14ac:dyDescent="0.3">
      <c r="A148" s="13" t="s">
        <v>49</v>
      </c>
      <c r="B148" s="16">
        <v>7.0000000000000007E-2</v>
      </c>
    </row>
    <row r="149" spans="1:2" x14ac:dyDescent="0.3">
      <c r="A149" s="13" t="s">
        <v>50</v>
      </c>
      <c r="B149" s="16">
        <v>0.09</v>
      </c>
    </row>
    <row r="150" spans="1:2" x14ac:dyDescent="0.3">
      <c r="A150" s="13" t="s">
        <v>51</v>
      </c>
      <c r="B150" s="16">
        <v>3</v>
      </c>
    </row>
    <row r="151" spans="1:2" x14ac:dyDescent="0.3">
      <c r="A151" s="13" t="s">
        <v>52</v>
      </c>
      <c r="B151" s="16">
        <v>12</v>
      </c>
    </row>
    <row r="152" spans="1:2" x14ac:dyDescent="0.3">
      <c r="A152" s="13" t="s">
        <v>50</v>
      </c>
      <c r="B152" s="16">
        <v>0.9</v>
      </c>
    </row>
    <row r="153" spans="1:2" x14ac:dyDescent="0.3">
      <c r="A153" s="14" t="s">
        <v>53</v>
      </c>
      <c r="B153" s="16">
        <v>16</v>
      </c>
    </row>
    <row r="154" spans="1:2" x14ac:dyDescent="0.3">
      <c r="A154" s="14" t="s">
        <v>54</v>
      </c>
      <c r="B154" s="16">
        <v>0.4</v>
      </c>
    </row>
    <row r="155" spans="1:2" x14ac:dyDescent="0.3">
      <c r="A155" s="14" t="s">
        <v>55</v>
      </c>
      <c r="B155" s="16">
        <v>7.0000000000000007E-2</v>
      </c>
    </row>
    <row r="156" spans="1:2" x14ac:dyDescent="0.3">
      <c r="A156" s="14" t="s">
        <v>56</v>
      </c>
      <c r="B156" s="16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OSCAR PINEDA</vt:lpstr>
      <vt:lpstr>MARIO MARTINEZ</vt:lpstr>
      <vt:lpstr>JOSE GUEVARA</vt:lpstr>
      <vt:lpstr>JIFFER NIETO</vt:lpstr>
      <vt:lpstr>WILSON MARTINEZ</vt:lpstr>
      <vt:lpstr>PESO</vt:lpstr>
      <vt:lpstr>CONSOLIDADO</vt:lpstr>
      <vt:lpstr>PESOS EQUI - ALFOR</vt:lpstr>
      <vt:lpstr>PESO FT</vt:lpstr>
      <vt:lpstr>PESO FM</vt:lpstr>
      <vt:lpstr>'PESOS EQUI - ALFOR'!Área_de_impresión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diseño</dc:creator>
  <cp:lastModifiedBy>almacen</cp:lastModifiedBy>
  <cp:lastPrinted>2026-01-23T02:55:31Z</cp:lastPrinted>
  <dcterms:created xsi:type="dcterms:W3CDTF">2019-01-30T20:12:42Z</dcterms:created>
  <dcterms:modified xsi:type="dcterms:W3CDTF">2026-07-06T20:35:14Z</dcterms:modified>
</cp:coreProperties>
</file>