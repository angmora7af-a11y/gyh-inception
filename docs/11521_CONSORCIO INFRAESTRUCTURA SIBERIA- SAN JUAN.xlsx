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PEDIDOS PARCIALES\"/>
    </mc:Choice>
  </mc:AlternateContent>
  <xr:revisionPtr revIDLastSave="0" documentId="13_ncr:1_{6BF96D42-4AB1-4BF0-8CB9-B592CAAB08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SPACHOS" sheetId="1" r:id="rId1"/>
    <sheet name="H" sheetId="2" r:id="rId2"/>
    <sheet name="Hoja3" sheetId="3" r:id="rId3"/>
  </sheets>
  <definedNames>
    <definedName name="_xlnm._FilterDatabase" localSheetId="0" hidden="1">DESPACHOS!$A$40:$F$40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1" l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9" i="1"/>
  <c r="O30" i="1"/>
  <c r="O31" i="1"/>
  <c r="O32" i="1"/>
  <c r="O33" i="1"/>
  <c r="O34" i="1"/>
  <c r="O35" i="1"/>
  <c r="O36" i="1"/>
  <c r="O37" i="1"/>
  <c r="O38" i="1"/>
  <c r="O39" i="1"/>
  <c r="O40" i="1"/>
  <c r="O11" i="1"/>
  <c r="G11" i="1"/>
  <c r="G35" i="1"/>
  <c r="G33" i="1"/>
  <c r="G32" i="1"/>
  <c r="G20" i="1" l="1"/>
  <c r="G21" i="1"/>
  <c r="G22" i="1"/>
  <c r="G23" i="1"/>
  <c r="G24" i="1"/>
  <c r="G25" i="1"/>
  <c r="G26" i="1"/>
  <c r="G27" i="1"/>
  <c r="G29" i="1"/>
  <c r="G30" i="1"/>
  <c r="G36" i="1"/>
  <c r="G37" i="1"/>
  <c r="G38" i="1"/>
  <c r="G39" i="1"/>
  <c r="G40" i="1"/>
  <c r="G19" i="1"/>
  <c r="G12" i="1"/>
  <c r="G13" i="1"/>
  <c r="G14" i="1"/>
  <c r="G15" i="1"/>
  <c r="G16" i="1"/>
  <c r="G17" i="1"/>
  <c r="G18" i="1"/>
  <c r="F11" i="1"/>
  <c r="F12" i="1"/>
  <c r="F19" i="1"/>
  <c r="F20" i="1"/>
  <c r="F21" i="1"/>
  <c r="F22" i="1"/>
  <c r="F23" i="1"/>
  <c r="F24" i="1"/>
  <c r="F25" i="1"/>
  <c r="F26" i="1"/>
  <c r="F27" i="1"/>
  <c r="E28" i="1" l="1"/>
  <c r="G28" i="1" s="1"/>
  <c r="G4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ALFOREQUIPOS</author>
  </authors>
  <commentList>
    <comment ref="E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ALFOREQUIPOS:</t>
        </r>
        <r>
          <rPr>
            <sz val="9"/>
            <color indexed="81"/>
            <rFont val="Tahoma"/>
            <family val="2"/>
          </rPr>
          <t xml:space="preserve">
ESPECIFICAR SI ES SALDO, DESPACHO NUEVO </t>
        </r>
      </text>
    </comment>
    <comment ref="A32" authorId="0" shapeId="0" xr:uid="{FD29CC9D-7A03-42F4-8964-B65441A7C2C1}">
      <text>
        <r>
          <rPr>
            <b/>
            <sz val="9"/>
            <color indexed="81"/>
            <rFont val="Tahoma"/>
            <family val="2"/>
          </rPr>
          <t>ALFOREQUIPOS:</t>
        </r>
        <r>
          <rPr>
            <sz val="9"/>
            <color indexed="81"/>
            <rFont val="Tahoma"/>
            <family val="2"/>
          </rPr>
          <t xml:space="preserve">
ESPECIFICAR ANCHO DE MURO Y EL ANCHO DE LA CORBATA</t>
        </r>
      </text>
    </comment>
    <comment ref="A4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ALFOREQUIPOS:</t>
        </r>
        <r>
          <rPr>
            <sz val="9"/>
            <color indexed="81"/>
            <rFont val="Tahoma"/>
            <family val="2"/>
          </rPr>
          <t xml:space="preserve">
CANTIDADES EN MEDIAS LUNAS
</t>
        </r>
      </text>
    </comment>
  </commentList>
</comments>
</file>

<file path=xl/sharedStrings.xml><?xml version="1.0" encoding="utf-8"?>
<sst xmlns="http://schemas.openxmlformats.org/spreadsheetml/2006/main" count="54" uniqueCount="52">
  <si>
    <t>Fecha:</t>
  </si>
  <si>
    <t>REFERENCIA:</t>
  </si>
  <si>
    <t>DESPACHO</t>
  </si>
  <si>
    <t>CONSTRUCTORA:</t>
  </si>
  <si>
    <t>OBRA:</t>
  </si>
  <si>
    <t>TELEFONO:</t>
  </si>
  <si>
    <t>CONTACTO:</t>
  </si>
  <si>
    <t>ELEMENTOS</t>
  </si>
  <si>
    <t>LARGO</t>
  </si>
  <si>
    <t>ANCHO</t>
  </si>
  <si>
    <t>ALTO</t>
  </si>
  <si>
    <t>CANTIDAD</t>
  </si>
  <si>
    <t>AREA</t>
  </si>
  <si>
    <t>TABLEROS</t>
  </si>
  <si>
    <t>RINCONERAS</t>
  </si>
  <si>
    <t>ALINEADORES</t>
  </si>
  <si>
    <t>ANGULOS</t>
  </si>
  <si>
    <t>CHAPETAS</t>
  </si>
  <si>
    <t>TENSORES</t>
  </si>
  <si>
    <t>ESTADO:</t>
  </si>
  <si>
    <t>DIRECCION:</t>
  </si>
  <si>
    <t>FECHA DE ENTREGA:</t>
  </si>
  <si>
    <t>PESO</t>
  </si>
  <si>
    <t>TOTAL PESO</t>
  </si>
  <si>
    <t>NOTA:</t>
  </si>
  <si>
    <t xml:space="preserve">QUIEN ENTREGA </t>
  </si>
  <si>
    <t>QUIEN RECIBE</t>
  </si>
  <si>
    <t>CONDUCTOR</t>
  </si>
  <si>
    <t>la persona que realiza el despacho debe entregar el equipo totalmente</t>
  </si>
  <si>
    <t>verificado y contado.</t>
  </si>
  <si>
    <t xml:space="preserve">la persona que recibe el equipo (el conductor), debe de verificar y </t>
  </si>
  <si>
    <t>contar la totalidad del equipo para su respectiva entrega en obra,</t>
  </si>
  <si>
    <t>NOMBRE CLARO</t>
  </si>
  <si>
    <t>ASESOR:</t>
  </si>
  <si>
    <t>PESO KG</t>
  </si>
  <si>
    <t>SAN JUAN DE DIOS</t>
  </si>
  <si>
    <t>FRENTE EDIFICIO SIBERIA</t>
  </si>
  <si>
    <t>JOSE RODRIGUEZ</t>
  </si>
  <si>
    <t>PARAL CORTO</t>
  </si>
  <si>
    <t>PARAL LARGO</t>
  </si>
  <si>
    <t>CERCHA 1,40</t>
  </si>
  <si>
    <t>CERCHA 3,00</t>
  </si>
  <si>
    <t>No. 11521</t>
  </si>
  <si>
    <t>CONSORCIO INFRAESTRUCTURA SIBERIA</t>
  </si>
  <si>
    <t>TANQUE</t>
  </si>
  <si>
    <t>MURO DE 0.30 LONG. 0,40</t>
  </si>
  <si>
    <t>PINES</t>
  </si>
  <si>
    <t>CORBATAS (DESTIJERADA-VENTA)</t>
  </si>
  <si>
    <t>FM 1061</t>
  </si>
  <si>
    <t>Saldo Pte</t>
  </si>
  <si>
    <t>FM 1071</t>
  </si>
  <si>
    <t>FM 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</si>
</sst>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0" fillId="0" borderId="6" xfId="0" applyBorder="1"/>
    <xf numFmtId="0" fontId="0" fillId="0" borderId="9" xfId="0" applyBorder="1"/>
    <xf numFmtId="0" fontId="1" fillId="3" borderId="7" xfId="0" applyFont="1" applyFill="1" applyBorder="1"/>
    <xf numFmtId="0" fontId="1" fillId="3" borderId="8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0" xfId="0" applyFont="1"/>
    <xf numFmtId="1" fontId="0" fillId="0" borderId="1" xfId="0" applyNumberFormat="1" applyBorder="1"/>
    <xf numFmtId="2" fontId="0" fillId="0" borderId="1" xfId="0" applyNumberFormat="1" applyBorder="1"/>
    <xf numFmtId="0" fontId="0" fillId="0" borderId="10" xfId="0" applyBorder="1"/>
    <xf numFmtId="1" fontId="0" fillId="0" borderId="10" xfId="0" applyNumberForma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1" fillId="4" borderId="12" xfId="0" applyFont="1" applyFill="1" applyBorder="1"/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0" fillId="0" borderId="15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zoomScale="90" zoomScaleNormal="90" workbookViewId="0">
      <selection activeCell="M3" sqref="M3"/>
    </sheetView>
  </sheetViews>
  <sheetFormatPr baseColWidth="10" defaultRowHeight="15" x14ac:dyDescent="0.25"/>
  <cols>
    <col min="1" max="1" width="30" customWidth="1"/>
    <col min="6" max="6" width="11.28515625" customWidth="1"/>
    <col min="7" max="7" width="8.28515625" customWidth="1"/>
  </cols>
  <sheetData>
    <row r="1" spans="1:15" x14ac:dyDescent="0.25">
      <c r="A1" s="2" t="s">
        <v>42</v>
      </c>
      <c r="B1" s="16" t="s">
        <v>0</v>
      </c>
      <c r="C1" s="4">
        <v>46190</v>
      </c>
      <c r="D1" s="3"/>
      <c r="E1" s="16" t="s">
        <v>1</v>
      </c>
      <c r="F1" s="3" t="s">
        <v>2</v>
      </c>
      <c r="G1" s="5"/>
    </row>
    <row r="2" spans="1:15" x14ac:dyDescent="0.25">
      <c r="A2" s="6"/>
      <c r="C2" s="7"/>
      <c r="G2" s="8"/>
    </row>
    <row r="3" spans="1:15" x14ac:dyDescent="0.25">
      <c r="A3" s="15" t="s">
        <v>3</v>
      </c>
      <c r="B3" s="30" t="s">
        <v>43</v>
      </c>
      <c r="G3" s="8"/>
    </row>
    <row r="4" spans="1:15" x14ac:dyDescent="0.25">
      <c r="A4" s="15" t="s">
        <v>4</v>
      </c>
      <c r="B4" t="s">
        <v>35</v>
      </c>
      <c r="F4" t="s">
        <v>44</v>
      </c>
      <c r="G4" s="8"/>
    </row>
    <row r="5" spans="1:15" x14ac:dyDescent="0.25">
      <c r="A5" s="15" t="s">
        <v>20</v>
      </c>
      <c r="B5" t="s">
        <v>36</v>
      </c>
      <c r="G5" s="8"/>
    </row>
    <row r="6" spans="1:15" x14ac:dyDescent="0.25">
      <c r="A6" s="15" t="s">
        <v>5</v>
      </c>
      <c r="B6" s="30"/>
      <c r="G6" s="8"/>
    </row>
    <row r="7" spans="1:15" x14ac:dyDescent="0.25">
      <c r="A7" s="15" t="s">
        <v>6</v>
      </c>
      <c r="B7" s="30"/>
      <c r="D7" s="17" t="s">
        <v>21</v>
      </c>
      <c r="F7" s="7">
        <v>46197</v>
      </c>
      <c r="G7" s="8"/>
    </row>
    <row r="8" spans="1:15" x14ac:dyDescent="0.25">
      <c r="A8" s="15" t="s">
        <v>33</v>
      </c>
      <c r="B8" s="30" t="s">
        <v>37</v>
      </c>
      <c r="D8" s="17" t="s">
        <v>19</v>
      </c>
      <c r="G8" s="8"/>
    </row>
    <row r="9" spans="1:15" x14ac:dyDescent="0.25">
      <c r="A9" s="6"/>
      <c r="G9" s="8"/>
      <c r="I9" s="7">
        <v>46203</v>
      </c>
      <c r="J9" s="7">
        <v>46205</v>
      </c>
      <c r="K9" s="7">
        <v>46209</v>
      </c>
    </row>
    <row r="10" spans="1:15" ht="15.75" x14ac:dyDescent="0.25">
      <c r="A10" s="12" t="s">
        <v>7</v>
      </c>
      <c r="B10" s="13" t="s">
        <v>8</v>
      </c>
      <c r="C10" s="13" t="s">
        <v>9</v>
      </c>
      <c r="D10" s="13" t="s">
        <v>10</v>
      </c>
      <c r="E10" s="26" t="s">
        <v>11</v>
      </c>
      <c r="F10" s="27" t="s">
        <v>12</v>
      </c>
      <c r="G10" s="27" t="s">
        <v>22</v>
      </c>
      <c r="H10" s="13" t="s">
        <v>34</v>
      </c>
      <c r="I10" s="13" t="s">
        <v>48</v>
      </c>
      <c r="J10" s="13" t="s">
        <v>50</v>
      </c>
      <c r="K10" s="13" t="s">
        <v>51</v>
      </c>
      <c r="L10" s="1"/>
      <c r="M10" s="1"/>
      <c r="N10" s="1"/>
      <c r="O10" s="13" t="s">
        <v>49</v>
      </c>
    </row>
    <row r="11" spans="1:15" x14ac:dyDescent="0.25">
      <c r="A11" s="10" t="s">
        <v>13</v>
      </c>
      <c r="B11" s="1"/>
      <c r="C11" s="19">
        <v>0.6</v>
      </c>
      <c r="D11" s="19">
        <v>1.2</v>
      </c>
      <c r="E11" s="14">
        <v>350</v>
      </c>
      <c r="F11" s="20">
        <f t="shared" ref="F11:F12" si="0">+D11*C11*E11</f>
        <v>252</v>
      </c>
      <c r="G11" s="20">
        <f t="shared" ref="G11:G30" si="1">H11*E11</f>
        <v>11900</v>
      </c>
      <c r="H11" s="18">
        <v>34</v>
      </c>
      <c r="I11" s="1">
        <v>150</v>
      </c>
      <c r="J11" s="1">
        <v>200</v>
      </c>
      <c r="K11" s="1"/>
      <c r="L11" s="1"/>
      <c r="M11" s="1"/>
      <c r="N11" s="1"/>
      <c r="O11" s="1">
        <f>E11-I11-J11-K11-L11-M11-N11</f>
        <v>0</v>
      </c>
    </row>
    <row r="12" spans="1:15" x14ac:dyDescent="0.25">
      <c r="A12" s="10"/>
      <c r="B12" s="1"/>
      <c r="C12" s="19">
        <v>0.5</v>
      </c>
      <c r="D12" s="19">
        <v>1.2</v>
      </c>
      <c r="E12" s="1">
        <v>54</v>
      </c>
      <c r="F12" s="20">
        <f t="shared" si="0"/>
        <v>32.4</v>
      </c>
      <c r="G12" s="20">
        <f t="shared" si="1"/>
        <v>1528.2</v>
      </c>
      <c r="H12" s="1">
        <v>28.3</v>
      </c>
      <c r="I12" s="1"/>
      <c r="J12" s="1">
        <v>54</v>
      </c>
      <c r="K12" s="1"/>
      <c r="L12" s="1"/>
      <c r="M12" s="1"/>
      <c r="N12" s="1"/>
      <c r="O12" s="1">
        <f t="shared" ref="O12:O40" si="2">E12-I12-J12-K12-L12-M12-N12</f>
        <v>0</v>
      </c>
    </row>
    <row r="13" spans="1:15" x14ac:dyDescent="0.25">
      <c r="A13" s="10"/>
      <c r="B13" s="1"/>
      <c r="C13" s="19">
        <v>0.45</v>
      </c>
      <c r="D13" s="19">
        <v>1.2</v>
      </c>
      <c r="E13" s="1">
        <v>78</v>
      </c>
      <c r="F13" s="20">
        <v>0</v>
      </c>
      <c r="G13" s="20">
        <f t="shared" si="1"/>
        <v>1989</v>
      </c>
      <c r="H13" s="18">
        <v>25.5</v>
      </c>
      <c r="I13" s="1">
        <v>78</v>
      </c>
      <c r="J13" s="1"/>
      <c r="K13" s="1"/>
      <c r="L13" s="1"/>
      <c r="M13" s="1"/>
      <c r="N13" s="1"/>
      <c r="O13" s="1">
        <f t="shared" si="2"/>
        <v>0</v>
      </c>
    </row>
    <row r="14" spans="1:15" x14ac:dyDescent="0.25">
      <c r="A14" s="10"/>
      <c r="B14" s="1"/>
      <c r="C14" s="19">
        <v>0.4</v>
      </c>
      <c r="D14" s="19">
        <v>1.2</v>
      </c>
      <c r="E14" s="1">
        <v>15</v>
      </c>
      <c r="F14" s="20">
        <v>0</v>
      </c>
      <c r="G14" s="20">
        <f t="shared" si="1"/>
        <v>340.5</v>
      </c>
      <c r="H14" s="1">
        <v>22.7</v>
      </c>
      <c r="I14" s="1">
        <v>15</v>
      </c>
      <c r="J14" s="1"/>
      <c r="K14" s="1"/>
      <c r="L14" s="1"/>
      <c r="M14" s="1"/>
      <c r="N14" s="1"/>
      <c r="O14" s="1">
        <f t="shared" si="2"/>
        <v>0</v>
      </c>
    </row>
    <row r="15" spans="1:15" x14ac:dyDescent="0.25">
      <c r="A15" s="10"/>
      <c r="B15" s="1"/>
      <c r="C15" s="19">
        <v>0.35</v>
      </c>
      <c r="D15" s="19">
        <v>1.2</v>
      </c>
      <c r="E15" s="1">
        <v>12</v>
      </c>
      <c r="F15" s="20">
        <v>0</v>
      </c>
      <c r="G15" s="20">
        <f t="shared" si="1"/>
        <v>237.60000000000002</v>
      </c>
      <c r="H15" s="1">
        <v>19.8</v>
      </c>
      <c r="I15" s="1">
        <v>12</v>
      </c>
      <c r="J15" s="1"/>
      <c r="K15" s="1"/>
      <c r="L15" s="1"/>
      <c r="M15" s="1"/>
      <c r="N15" s="1"/>
      <c r="O15" s="1">
        <f t="shared" si="2"/>
        <v>0</v>
      </c>
    </row>
    <row r="16" spans="1:15" x14ac:dyDescent="0.25">
      <c r="A16" s="10"/>
      <c r="B16" s="1"/>
      <c r="C16" s="19">
        <v>0.3</v>
      </c>
      <c r="D16" s="19">
        <v>1.2</v>
      </c>
      <c r="E16" s="1">
        <v>2</v>
      </c>
      <c r="F16" s="20">
        <v>0</v>
      </c>
      <c r="G16" s="20">
        <f t="shared" si="1"/>
        <v>34</v>
      </c>
      <c r="H16" s="1">
        <v>17</v>
      </c>
      <c r="I16" s="1">
        <v>2</v>
      </c>
      <c r="J16" s="1"/>
      <c r="K16" s="1"/>
      <c r="L16" s="1"/>
      <c r="M16" s="1"/>
      <c r="N16" s="1"/>
      <c r="O16" s="1">
        <f t="shared" si="2"/>
        <v>0</v>
      </c>
    </row>
    <row r="17" spans="1:15" x14ac:dyDescent="0.25">
      <c r="A17" s="10"/>
      <c r="B17" s="1"/>
      <c r="C17" s="19">
        <v>0.2</v>
      </c>
      <c r="D17" s="19">
        <v>1.2</v>
      </c>
      <c r="E17" s="1">
        <v>42</v>
      </c>
      <c r="F17" s="20">
        <v>0</v>
      </c>
      <c r="G17" s="20">
        <f t="shared" si="1"/>
        <v>474.6</v>
      </c>
      <c r="H17" s="1">
        <v>11.3</v>
      </c>
      <c r="I17" s="1">
        <v>42</v>
      </c>
      <c r="J17" s="1"/>
      <c r="K17" s="1"/>
      <c r="L17" s="1"/>
      <c r="M17" s="1"/>
      <c r="N17" s="1"/>
      <c r="O17" s="1">
        <f t="shared" si="2"/>
        <v>0</v>
      </c>
    </row>
    <row r="18" spans="1:15" x14ac:dyDescent="0.25">
      <c r="A18" s="10"/>
      <c r="B18" s="1"/>
      <c r="C18" s="19">
        <v>0.1</v>
      </c>
      <c r="D18" s="19">
        <v>1.2</v>
      </c>
      <c r="E18" s="1">
        <v>58</v>
      </c>
      <c r="F18" s="20">
        <v>0</v>
      </c>
      <c r="G18" s="20">
        <f t="shared" si="1"/>
        <v>330.6</v>
      </c>
      <c r="H18" s="1">
        <v>5.7</v>
      </c>
      <c r="I18" s="1">
        <v>36</v>
      </c>
      <c r="J18" s="1">
        <v>22</v>
      </c>
      <c r="K18" s="1"/>
      <c r="L18" s="1"/>
      <c r="M18" s="1"/>
      <c r="N18" s="1"/>
      <c r="O18" s="1">
        <f t="shared" si="2"/>
        <v>0</v>
      </c>
    </row>
    <row r="19" spans="1:15" x14ac:dyDescent="0.25">
      <c r="A19" s="10" t="s">
        <v>14</v>
      </c>
      <c r="B19" s="19">
        <v>0.15</v>
      </c>
      <c r="C19" s="19">
        <v>0.15</v>
      </c>
      <c r="D19" s="19">
        <v>1.2</v>
      </c>
      <c r="E19" s="1">
        <v>75</v>
      </c>
      <c r="F19" s="20">
        <f>(B19+C19)*D19*E19</f>
        <v>27</v>
      </c>
      <c r="G19" s="20">
        <f t="shared" si="1"/>
        <v>1950</v>
      </c>
      <c r="H19" s="1">
        <v>26</v>
      </c>
      <c r="I19" s="1"/>
      <c r="J19" s="1"/>
      <c r="K19" s="1"/>
      <c r="L19" s="1"/>
      <c r="M19" s="1"/>
      <c r="N19" s="1"/>
      <c r="O19" s="1">
        <f t="shared" si="2"/>
        <v>75</v>
      </c>
    </row>
    <row r="20" spans="1:15" x14ac:dyDescent="0.25">
      <c r="A20" s="10" t="s">
        <v>15</v>
      </c>
      <c r="B20" s="19">
        <v>6</v>
      </c>
      <c r="C20" s="1"/>
      <c r="D20" s="1"/>
      <c r="E20" s="1">
        <v>40</v>
      </c>
      <c r="F20" s="21">
        <f>B20*E20</f>
        <v>240</v>
      </c>
      <c r="G20" s="20">
        <f t="shared" si="1"/>
        <v>0</v>
      </c>
      <c r="H20" s="1"/>
      <c r="I20" s="1"/>
      <c r="J20" s="1">
        <v>10</v>
      </c>
      <c r="K20" s="1"/>
      <c r="L20" s="1"/>
      <c r="M20" s="1"/>
      <c r="N20" s="1"/>
      <c r="O20" s="1">
        <f t="shared" si="2"/>
        <v>30</v>
      </c>
    </row>
    <row r="21" spans="1:15" x14ac:dyDescent="0.25">
      <c r="A21" s="10"/>
      <c r="B21" s="19">
        <v>4</v>
      </c>
      <c r="C21" s="1"/>
      <c r="D21" s="1"/>
      <c r="E21" s="1">
        <v>5</v>
      </c>
      <c r="F21" s="21">
        <f t="shared" ref="F21:F27" si="3">B21*E21</f>
        <v>20</v>
      </c>
      <c r="G21" s="20">
        <f t="shared" si="1"/>
        <v>0</v>
      </c>
      <c r="H21" s="1"/>
      <c r="I21" s="1"/>
      <c r="J21" s="1"/>
      <c r="K21" s="1"/>
      <c r="L21" s="1"/>
      <c r="M21" s="1"/>
      <c r="N21" s="1"/>
      <c r="O21" s="1">
        <f t="shared" si="2"/>
        <v>5</v>
      </c>
    </row>
    <row r="22" spans="1:15" x14ac:dyDescent="0.25">
      <c r="A22" s="10"/>
      <c r="B22" s="19">
        <v>3.5</v>
      </c>
      <c r="C22" s="1"/>
      <c r="D22" s="1"/>
      <c r="E22" s="1">
        <v>10</v>
      </c>
      <c r="F22" s="21">
        <f t="shared" si="3"/>
        <v>35</v>
      </c>
      <c r="G22" s="20">
        <f t="shared" si="1"/>
        <v>0</v>
      </c>
      <c r="H22" s="1"/>
      <c r="I22" s="1"/>
      <c r="J22" s="1"/>
      <c r="K22" s="1"/>
      <c r="L22" s="1"/>
      <c r="M22" s="1"/>
      <c r="N22" s="1"/>
      <c r="O22" s="1">
        <f t="shared" si="2"/>
        <v>10</v>
      </c>
    </row>
    <row r="23" spans="1:15" x14ac:dyDescent="0.25">
      <c r="A23" s="10"/>
      <c r="B23" s="19">
        <v>3</v>
      </c>
      <c r="C23" s="1"/>
      <c r="D23" s="1"/>
      <c r="E23" s="1">
        <v>10</v>
      </c>
      <c r="F23" s="21">
        <f t="shared" si="3"/>
        <v>30</v>
      </c>
      <c r="G23" s="20">
        <f t="shared" si="1"/>
        <v>0</v>
      </c>
      <c r="H23" s="1"/>
      <c r="I23" s="1"/>
      <c r="J23" s="1"/>
      <c r="K23" s="1"/>
      <c r="L23" s="1"/>
      <c r="M23" s="1"/>
      <c r="N23" s="1"/>
      <c r="O23" s="1">
        <f t="shared" si="2"/>
        <v>10</v>
      </c>
    </row>
    <row r="24" spans="1:15" x14ac:dyDescent="0.25">
      <c r="A24" s="10"/>
      <c r="B24" s="19">
        <v>2.4</v>
      </c>
      <c r="C24" s="1"/>
      <c r="D24" s="1"/>
      <c r="E24" s="1">
        <v>55</v>
      </c>
      <c r="F24" s="21">
        <f t="shared" si="3"/>
        <v>132</v>
      </c>
      <c r="G24" s="20">
        <f t="shared" si="1"/>
        <v>0</v>
      </c>
      <c r="H24" s="1"/>
      <c r="I24" s="1"/>
      <c r="J24" s="1"/>
      <c r="K24" s="1"/>
      <c r="L24" s="1"/>
      <c r="M24" s="1"/>
      <c r="N24" s="1"/>
      <c r="O24" s="1">
        <f t="shared" si="2"/>
        <v>55</v>
      </c>
    </row>
    <row r="25" spans="1:15" x14ac:dyDescent="0.25">
      <c r="A25" s="10"/>
      <c r="B25" s="19">
        <v>2</v>
      </c>
      <c r="C25" s="1"/>
      <c r="D25" s="1"/>
      <c r="E25" s="1">
        <v>12</v>
      </c>
      <c r="F25" s="21">
        <f t="shared" si="3"/>
        <v>24</v>
      </c>
      <c r="G25" s="20">
        <f t="shared" si="1"/>
        <v>0</v>
      </c>
      <c r="H25" s="1"/>
      <c r="I25" s="1"/>
      <c r="J25" s="1"/>
      <c r="K25" s="1"/>
      <c r="L25" s="1"/>
      <c r="M25" s="1"/>
      <c r="N25" s="1"/>
      <c r="O25" s="1">
        <f t="shared" si="2"/>
        <v>12</v>
      </c>
    </row>
    <row r="26" spans="1:15" x14ac:dyDescent="0.25">
      <c r="A26" s="10"/>
      <c r="B26" s="19">
        <v>1.5</v>
      </c>
      <c r="C26" s="1"/>
      <c r="D26" s="1"/>
      <c r="E26" s="1">
        <v>15</v>
      </c>
      <c r="F26" s="21">
        <f t="shared" si="3"/>
        <v>22.5</v>
      </c>
      <c r="G26" s="20">
        <f t="shared" si="1"/>
        <v>0</v>
      </c>
      <c r="H26" s="1"/>
      <c r="I26" s="1"/>
      <c r="J26" s="1"/>
      <c r="K26" s="1"/>
      <c r="L26" s="1"/>
      <c r="M26" s="1"/>
      <c r="N26" s="1"/>
      <c r="O26" s="1">
        <f t="shared" si="2"/>
        <v>15</v>
      </c>
    </row>
    <row r="27" spans="1:15" x14ac:dyDescent="0.25">
      <c r="A27" s="10"/>
      <c r="B27" s="19">
        <v>1</v>
      </c>
      <c r="C27" s="1"/>
      <c r="D27" s="1"/>
      <c r="E27" s="1">
        <v>40</v>
      </c>
      <c r="F27" s="21">
        <f t="shared" si="3"/>
        <v>40</v>
      </c>
      <c r="G27" s="20">
        <f t="shared" si="1"/>
        <v>0</v>
      </c>
      <c r="H27" s="1"/>
      <c r="I27" s="1"/>
      <c r="J27" s="1"/>
      <c r="K27" s="1"/>
      <c r="L27" s="1"/>
      <c r="M27" s="1"/>
      <c r="N27" s="1"/>
      <c r="O27" s="1">
        <f t="shared" si="2"/>
        <v>40</v>
      </c>
    </row>
    <row r="28" spans="1:15" x14ac:dyDescent="0.25">
      <c r="A28" s="10" t="s">
        <v>18</v>
      </c>
      <c r="B28" s="19"/>
      <c r="C28" s="1"/>
      <c r="D28" s="1"/>
      <c r="E28" s="18">
        <f>+SUM(F20:F27)/0.6</f>
        <v>905.83333333333337</v>
      </c>
      <c r="F28" s="20"/>
      <c r="G28" s="20">
        <f t="shared" si="1"/>
        <v>634.08333333333337</v>
      </c>
      <c r="H28" s="1">
        <v>0.7</v>
      </c>
      <c r="I28" s="1">
        <v>300</v>
      </c>
      <c r="J28" s="1"/>
      <c r="K28" s="1"/>
      <c r="L28" s="1"/>
      <c r="M28" s="1"/>
      <c r="N28" s="1"/>
      <c r="O28" s="18">
        <f>E28-I28-J28-K28-L28-M28-N28</f>
        <v>605.83333333333337</v>
      </c>
    </row>
    <row r="29" spans="1:15" x14ac:dyDescent="0.25">
      <c r="A29" s="10" t="s">
        <v>16</v>
      </c>
      <c r="B29" s="19">
        <v>2.4</v>
      </c>
      <c r="C29" s="1"/>
      <c r="D29" s="1"/>
      <c r="E29" s="1">
        <v>5</v>
      </c>
      <c r="F29" s="20"/>
      <c r="G29" s="20">
        <f t="shared" si="1"/>
        <v>0</v>
      </c>
      <c r="H29" s="1"/>
      <c r="I29" s="1"/>
      <c r="J29" s="1"/>
      <c r="K29" s="1">
        <v>5</v>
      </c>
      <c r="L29" s="1"/>
      <c r="M29" s="1"/>
      <c r="N29" s="1"/>
      <c r="O29" s="1">
        <f t="shared" si="2"/>
        <v>0</v>
      </c>
    </row>
    <row r="30" spans="1:15" x14ac:dyDescent="0.25">
      <c r="A30" s="10"/>
      <c r="B30" s="19">
        <v>1.2</v>
      </c>
      <c r="C30" s="1"/>
      <c r="D30" s="1"/>
      <c r="E30" s="1">
        <v>5</v>
      </c>
      <c r="F30" s="20"/>
      <c r="G30" s="20">
        <f t="shared" si="1"/>
        <v>0</v>
      </c>
      <c r="H30" s="1"/>
      <c r="I30" s="1"/>
      <c r="J30" s="1"/>
      <c r="K30" s="1">
        <v>5</v>
      </c>
      <c r="L30" s="1"/>
      <c r="M30" s="1"/>
      <c r="N30" s="1"/>
      <c r="O30" s="1">
        <f t="shared" si="2"/>
        <v>0</v>
      </c>
    </row>
    <row r="31" spans="1:15" x14ac:dyDescent="0.25">
      <c r="A31" s="10"/>
      <c r="B31" s="19"/>
      <c r="C31" s="1"/>
      <c r="D31" s="1"/>
      <c r="E31" s="1"/>
      <c r="F31" s="20"/>
      <c r="G31" s="20"/>
      <c r="H31" s="1"/>
      <c r="I31" s="1"/>
      <c r="J31" s="1"/>
      <c r="K31" s="1"/>
      <c r="L31" s="1"/>
      <c r="M31" s="1"/>
      <c r="N31" s="1"/>
      <c r="O31" s="1">
        <f t="shared" si="2"/>
        <v>0</v>
      </c>
    </row>
    <row r="32" spans="1:15" x14ac:dyDescent="0.25">
      <c r="A32" s="10" t="s">
        <v>47</v>
      </c>
      <c r="B32" s="1"/>
      <c r="C32" s="1"/>
      <c r="D32" s="1"/>
      <c r="E32" s="1"/>
      <c r="F32" s="20"/>
      <c r="G32" s="20">
        <f>H32*E32</f>
        <v>0</v>
      </c>
      <c r="H32" s="1"/>
      <c r="I32" s="1"/>
      <c r="J32" s="1"/>
      <c r="K32" s="1"/>
      <c r="L32" s="1"/>
      <c r="M32" s="1"/>
      <c r="N32" s="1"/>
      <c r="O32" s="1">
        <f t="shared" si="2"/>
        <v>0</v>
      </c>
    </row>
    <row r="33" spans="1:15" x14ac:dyDescent="0.25">
      <c r="A33" s="10" t="s">
        <v>45</v>
      </c>
      <c r="B33" s="1"/>
      <c r="C33" s="1"/>
      <c r="D33" s="1"/>
      <c r="E33" s="14">
        <v>825</v>
      </c>
      <c r="F33" s="20"/>
      <c r="G33" s="20">
        <f>H33*E33</f>
        <v>0</v>
      </c>
      <c r="H33" s="1"/>
      <c r="I33" s="1">
        <v>825</v>
      </c>
      <c r="J33" s="1"/>
      <c r="K33" s="1"/>
      <c r="L33" s="1"/>
      <c r="M33" s="1"/>
      <c r="N33" s="1"/>
      <c r="O33" s="1">
        <f t="shared" si="2"/>
        <v>0</v>
      </c>
    </row>
    <row r="34" spans="1:15" x14ac:dyDescent="0.25">
      <c r="A34" s="10"/>
      <c r="B34" s="1"/>
      <c r="C34" s="1"/>
      <c r="D34" s="1"/>
      <c r="E34" s="14"/>
      <c r="F34" s="20"/>
      <c r="G34" s="20"/>
      <c r="H34" s="1"/>
      <c r="I34" s="1"/>
      <c r="J34" s="1"/>
      <c r="K34" s="1"/>
      <c r="L34" s="1"/>
      <c r="M34" s="1"/>
      <c r="N34" s="1"/>
      <c r="O34" s="1">
        <f t="shared" si="2"/>
        <v>0</v>
      </c>
    </row>
    <row r="35" spans="1:15" x14ac:dyDescent="0.25">
      <c r="A35" s="10" t="s">
        <v>46</v>
      </c>
      <c r="B35" s="1"/>
      <c r="C35" s="1"/>
      <c r="D35" s="1"/>
      <c r="E35" s="1">
        <v>1650</v>
      </c>
      <c r="F35" s="20"/>
      <c r="G35" s="20">
        <f t="shared" ref="G35:G40" si="4">H35*E35</f>
        <v>115.50000000000001</v>
      </c>
      <c r="H35" s="1">
        <v>7.0000000000000007E-2</v>
      </c>
      <c r="I35" s="1">
        <v>1650</v>
      </c>
      <c r="J35" s="1"/>
      <c r="K35" s="1"/>
      <c r="L35" s="1"/>
      <c r="M35" s="1"/>
      <c r="N35" s="1"/>
      <c r="O35" s="1">
        <f t="shared" si="2"/>
        <v>0</v>
      </c>
    </row>
    <row r="36" spans="1:15" x14ac:dyDescent="0.25">
      <c r="A36" s="10" t="s">
        <v>17</v>
      </c>
      <c r="B36" s="1"/>
      <c r="C36" s="1"/>
      <c r="D36" s="1"/>
      <c r="E36" s="1">
        <v>3055</v>
      </c>
      <c r="F36" s="20"/>
      <c r="G36" s="20">
        <f t="shared" si="4"/>
        <v>1008.1500000000001</v>
      </c>
      <c r="H36" s="1">
        <v>0.33</v>
      </c>
      <c r="I36" s="1">
        <v>2000</v>
      </c>
      <c r="J36" s="1"/>
      <c r="K36" s="1"/>
      <c r="L36" s="1"/>
      <c r="M36" s="1"/>
      <c r="N36" s="1"/>
      <c r="O36" s="1">
        <f t="shared" si="2"/>
        <v>1055</v>
      </c>
    </row>
    <row r="37" spans="1:15" x14ac:dyDescent="0.25">
      <c r="A37" s="10" t="s">
        <v>38</v>
      </c>
      <c r="B37" s="1"/>
      <c r="C37" s="1"/>
      <c r="D37" s="1"/>
      <c r="E37" s="1">
        <v>116</v>
      </c>
      <c r="F37" s="20"/>
      <c r="G37" s="20">
        <f t="shared" si="4"/>
        <v>0</v>
      </c>
      <c r="H37" s="1"/>
      <c r="I37" s="1"/>
      <c r="J37" s="1"/>
      <c r="K37" s="1"/>
      <c r="L37" s="1"/>
      <c r="M37" s="1"/>
      <c r="N37" s="1"/>
      <c r="O37" s="1">
        <f t="shared" si="2"/>
        <v>116</v>
      </c>
    </row>
    <row r="38" spans="1:15" x14ac:dyDescent="0.25">
      <c r="A38" s="10" t="s">
        <v>39</v>
      </c>
      <c r="B38" s="1"/>
      <c r="C38" s="1"/>
      <c r="D38" s="1"/>
      <c r="E38" s="1">
        <v>232</v>
      </c>
      <c r="F38" s="20"/>
      <c r="G38" s="20">
        <f t="shared" si="4"/>
        <v>928</v>
      </c>
      <c r="H38" s="1">
        <v>4</v>
      </c>
      <c r="I38" s="1"/>
      <c r="J38" s="1"/>
      <c r="K38" s="1"/>
      <c r="L38" s="1"/>
      <c r="M38" s="1"/>
      <c r="N38" s="1"/>
      <c r="O38" s="1">
        <f t="shared" si="2"/>
        <v>232</v>
      </c>
    </row>
    <row r="39" spans="1:15" x14ac:dyDescent="0.25">
      <c r="A39" s="10" t="s">
        <v>40</v>
      </c>
      <c r="B39" s="1"/>
      <c r="C39" s="1"/>
      <c r="D39" s="1"/>
      <c r="E39" s="1">
        <v>16</v>
      </c>
      <c r="F39" s="20"/>
      <c r="G39" s="20">
        <f t="shared" si="4"/>
        <v>272</v>
      </c>
      <c r="H39" s="1">
        <v>17</v>
      </c>
      <c r="I39" s="1"/>
      <c r="J39" s="1"/>
      <c r="K39" s="1"/>
      <c r="L39" s="1"/>
      <c r="M39" s="1"/>
      <c r="N39" s="1"/>
      <c r="O39" s="1">
        <f t="shared" si="2"/>
        <v>16</v>
      </c>
    </row>
    <row r="40" spans="1:15" ht="15.75" thickBot="1" x14ac:dyDescent="0.3">
      <c r="A40" s="11" t="s">
        <v>41</v>
      </c>
      <c r="B40" s="9"/>
      <c r="C40" s="9"/>
      <c r="D40" s="9"/>
      <c r="E40" s="9">
        <v>14</v>
      </c>
      <c r="F40" s="22"/>
      <c r="G40" s="20">
        <f t="shared" si="4"/>
        <v>350</v>
      </c>
      <c r="H40" s="1">
        <v>25</v>
      </c>
      <c r="I40" s="1"/>
      <c r="J40" s="1"/>
      <c r="K40" s="1"/>
      <c r="L40" s="1"/>
      <c r="M40" s="1"/>
      <c r="N40" s="1"/>
      <c r="O40" s="1">
        <f t="shared" si="2"/>
        <v>14</v>
      </c>
    </row>
    <row r="41" spans="1:15" ht="5.25" customHeight="1" thickBot="1" x14ac:dyDescent="0.3">
      <c r="A41" s="6"/>
      <c r="G41" s="8"/>
    </row>
    <row r="42" spans="1:15" ht="15.75" thickBot="1" x14ac:dyDescent="0.3">
      <c r="A42" s="25" t="s">
        <v>23</v>
      </c>
      <c r="B42" s="23"/>
      <c r="C42" s="23"/>
      <c r="D42" s="23"/>
      <c r="E42" s="23"/>
      <c r="F42" s="23"/>
      <c r="G42" s="24">
        <f>+SUM(G11:G39)</f>
        <v>21742.233333333334</v>
      </c>
    </row>
    <row r="44" spans="1:15" ht="18.75" x14ac:dyDescent="0.3">
      <c r="A44" s="28" t="s">
        <v>24</v>
      </c>
      <c r="B44" t="s">
        <v>28</v>
      </c>
    </row>
    <row r="45" spans="1:15" x14ac:dyDescent="0.25">
      <c r="B45" t="s">
        <v>29</v>
      </c>
    </row>
    <row r="46" spans="1:15" x14ac:dyDescent="0.25">
      <c r="B46" t="s">
        <v>30</v>
      </c>
    </row>
    <row r="47" spans="1:15" x14ac:dyDescent="0.25">
      <c r="B47" t="s">
        <v>31</v>
      </c>
    </row>
    <row r="49" spans="1:7" x14ac:dyDescent="0.25">
      <c r="A49" t="s">
        <v>32</v>
      </c>
      <c r="E49" t="s">
        <v>32</v>
      </c>
    </row>
    <row r="52" spans="1:7" x14ac:dyDescent="0.25">
      <c r="A52" s="29"/>
      <c r="E52" s="32"/>
      <c r="F52" s="32"/>
      <c r="G52" s="32"/>
    </row>
    <row r="53" spans="1:7" x14ac:dyDescent="0.25">
      <c r="A53" t="s">
        <v>25</v>
      </c>
      <c r="E53" s="31" t="s">
        <v>26</v>
      </c>
      <c r="F53" s="31"/>
      <c r="G53" s="31"/>
    </row>
    <row r="54" spans="1:7" x14ac:dyDescent="0.25">
      <c r="A54" t="s">
        <v>2</v>
      </c>
      <c r="E54" s="31" t="s">
        <v>27</v>
      </c>
      <c r="F54" s="31"/>
      <c r="G54" s="31"/>
    </row>
  </sheetData>
  <mergeCells count="3">
    <mergeCell ref="E53:G53"/>
    <mergeCell ref="E52:G52"/>
    <mergeCell ref="E54:G54"/>
  </mergeCells>
  <conditionalFormatting sqref="O11:O40">
    <cfRule type="cellIs" dxfId="1" priority="1" operator="equal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scale="73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DESPACHOS</vt:lpstr>
      <vt:lpstr>H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ALFOREQUIPOS</dc:creator>
  <cp:lastModifiedBy>almacen</cp:lastModifiedBy>
  <cp:lastPrinted>2026-06-27T14:54:33Z</cp:lastPrinted>
  <dcterms:created xsi:type="dcterms:W3CDTF">2013-04-25T19:39:38Z</dcterms:created>
  <dcterms:modified xsi:type="dcterms:W3CDTF">2026-07-06T18:16:27Z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2024-02-14T21:43:19Z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5cc05d8b-ef01-4430-ad42-9dc9872147f9</vt:lpwstr>
  </property>
  <property fmtid="{D5CDD505-2E9C-101B-9397-08002B2CF9AE}" pid="7" name="MSIP_Label_defa4170-0d19-0005-0004-bc88714345d2_ActionId">
    <vt:lpwstr>f696be61-26ab-40a1-b855-c59ec07fa44f</vt:lpwstr>
  </property>
  <property fmtid="{D5CDD505-2E9C-101B-9397-08002B2CF9AE}" pid="8" name="MSIP_Label_defa4170-0d19-0005-0004-bc88714345d2_ContentBits">
    <vt:lpwstr>0</vt:lpwstr>
  </property>
</Properties>
</file>