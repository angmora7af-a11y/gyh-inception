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OneDrive\Desktop\"/>
    </mc:Choice>
  </mc:AlternateContent>
  <xr:revisionPtr revIDLastSave="0" documentId="8_{FCF71CEB-ADB1-4C47-A312-AE9719404AA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Tabla Base_COT" sheetId="5" r:id="rId1"/>
    <sheet name="Tablas de Pesos" sheetId="8" r:id="rId2"/>
    <sheet name="Hoja1" sheetId="9" r:id="rId3"/>
  </sheets>
  <definedNames>
    <definedName name="_xlnm.Print_Area" localSheetId="0">'Tabla Base_COT'!$B$1:$L$184</definedName>
    <definedName name="_xlnm.Print_Area" localSheetId="1">'Tablas de Pesos'!$B$12:$H$160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5" l="1"/>
  <c r="J92" i="5"/>
  <c r="J93" i="5"/>
  <c r="J94" i="5"/>
  <c r="J95" i="5"/>
  <c r="F28" i="5"/>
  <c r="I28" i="5" s="1"/>
  <c r="J28" i="5"/>
  <c r="F30" i="5"/>
  <c r="I30" i="5" s="1"/>
  <c r="J30" i="5"/>
  <c r="F31" i="5"/>
  <c r="I31" i="5" s="1"/>
  <c r="J31" i="5"/>
  <c r="F33" i="5"/>
  <c r="I33" i="5" s="1"/>
  <c r="J33" i="5"/>
  <c r="F34" i="5"/>
  <c r="I34" i="5" s="1"/>
  <c r="J34" i="5"/>
  <c r="F35" i="5"/>
  <c r="I35" i="5" s="1"/>
  <c r="J35" i="5"/>
  <c r="F36" i="5"/>
  <c r="I36" i="5" s="1"/>
  <c r="J36" i="5"/>
  <c r="F37" i="5"/>
  <c r="I37" i="5" s="1"/>
  <c r="J37" i="5"/>
  <c r="F38" i="5"/>
  <c r="I38" i="5" s="1"/>
  <c r="J38" i="5"/>
  <c r="F39" i="5"/>
  <c r="I39" i="5" s="1"/>
  <c r="J39" i="5"/>
  <c r="F40" i="5"/>
  <c r="I40" i="5" s="1"/>
  <c r="J40" i="5"/>
  <c r="F41" i="5"/>
  <c r="I41" i="5" s="1"/>
  <c r="J41" i="5"/>
  <c r="F43" i="5"/>
  <c r="L43" i="5" s="1"/>
  <c r="J43" i="5"/>
  <c r="F44" i="5"/>
  <c r="L44" i="5" s="1"/>
  <c r="J44" i="5"/>
  <c r="F45" i="5"/>
  <c r="L45" i="5" s="1"/>
  <c r="J45" i="5"/>
  <c r="F46" i="5"/>
  <c r="L46" i="5" s="1"/>
  <c r="J46" i="5"/>
  <c r="F47" i="5"/>
  <c r="L47" i="5" s="1"/>
  <c r="J47" i="5"/>
  <c r="F48" i="5"/>
  <c r="L48" i="5" s="1"/>
  <c r="J48" i="5"/>
  <c r="F49" i="5"/>
  <c r="L49" i="5" s="1"/>
  <c r="J49" i="5"/>
  <c r="F50" i="5"/>
  <c r="L50" i="5" s="1"/>
  <c r="J50" i="5"/>
  <c r="F51" i="5"/>
  <c r="L51" i="5" s="1"/>
  <c r="J51" i="5"/>
  <c r="F52" i="5"/>
  <c r="L52" i="5" s="1"/>
  <c r="J52" i="5"/>
  <c r="F53" i="5"/>
  <c r="L53" i="5" s="1"/>
  <c r="J53" i="5"/>
  <c r="F54" i="5"/>
  <c r="L54" i="5" s="1"/>
  <c r="J54" i="5"/>
  <c r="F55" i="5"/>
  <c r="L55" i="5" s="1"/>
  <c r="J55" i="5"/>
  <c r="F56" i="5"/>
  <c r="L56" i="5" s="1"/>
  <c r="J56" i="5"/>
  <c r="F57" i="5"/>
  <c r="L57" i="5" s="1"/>
  <c r="J57" i="5"/>
  <c r="F58" i="5"/>
  <c r="L58" i="5" s="1"/>
  <c r="J58" i="5"/>
  <c r="F59" i="5"/>
  <c r="L59" i="5" s="1"/>
  <c r="J59" i="5"/>
  <c r="F60" i="5"/>
  <c r="L60" i="5" s="1"/>
  <c r="J60" i="5"/>
  <c r="F61" i="5"/>
  <c r="L61" i="5" s="1"/>
  <c r="J61" i="5"/>
  <c r="F63" i="5"/>
  <c r="I63" i="5" s="1"/>
  <c r="J63" i="5"/>
  <c r="F64" i="5"/>
  <c r="L64" i="5" s="1"/>
  <c r="J64" i="5"/>
  <c r="F65" i="5"/>
  <c r="L65" i="5" s="1"/>
  <c r="J65" i="5"/>
  <c r="F66" i="5"/>
  <c r="L66" i="5" s="1"/>
  <c r="J66" i="5"/>
  <c r="F67" i="5"/>
  <c r="L67" i="5" s="1"/>
  <c r="J67" i="5"/>
  <c r="F68" i="5"/>
  <c r="L68" i="5" s="1"/>
  <c r="J68" i="5"/>
  <c r="F69" i="5"/>
  <c r="L69" i="5" s="1"/>
  <c r="J69" i="5"/>
  <c r="F70" i="5"/>
  <c r="L70" i="5" s="1"/>
  <c r="J70" i="5"/>
  <c r="F71" i="5"/>
  <c r="L71" i="5" s="1"/>
  <c r="J71" i="5"/>
  <c r="F73" i="5"/>
  <c r="I73" i="5" s="1"/>
  <c r="J73" i="5"/>
  <c r="F74" i="5"/>
  <c r="I74" i="5" s="1"/>
  <c r="J74" i="5"/>
  <c r="F75" i="5"/>
  <c r="I75" i="5" s="1"/>
  <c r="J75" i="5"/>
  <c r="F76" i="5"/>
  <c r="I76" i="5" s="1"/>
  <c r="J76" i="5"/>
  <c r="F77" i="5"/>
  <c r="I77" i="5" s="1"/>
  <c r="J77" i="5"/>
  <c r="F78" i="5"/>
  <c r="I78" i="5" s="1"/>
  <c r="J78" i="5"/>
  <c r="F79" i="5"/>
  <c r="I79" i="5" s="1"/>
  <c r="J79" i="5"/>
  <c r="F80" i="5"/>
  <c r="I80" i="5" s="1"/>
  <c r="J80" i="5"/>
  <c r="F81" i="5"/>
  <c r="I81" i="5" s="1"/>
  <c r="J81" i="5"/>
  <c r="F82" i="5"/>
  <c r="I82" i="5" s="1"/>
  <c r="J82" i="5"/>
  <c r="F83" i="5"/>
  <c r="I83" i="5" s="1"/>
  <c r="J83" i="5"/>
  <c r="F84" i="5"/>
  <c r="I84" i="5" s="1"/>
  <c r="J84" i="5"/>
  <c r="F85" i="5"/>
  <c r="I85" i="5" s="1"/>
  <c r="J85" i="5"/>
  <c r="F86" i="5"/>
  <c r="I86" i="5" s="1"/>
  <c r="J86" i="5"/>
  <c r="F87" i="5"/>
  <c r="I87" i="5" s="1"/>
  <c r="J87" i="5"/>
  <c r="F88" i="5"/>
  <c r="I88" i="5" s="1"/>
  <c r="J88" i="5"/>
  <c r="F89" i="5"/>
  <c r="I89" i="5" s="1"/>
  <c r="J89" i="5"/>
  <c r="F90" i="5"/>
  <c r="I90" i="5" s="1"/>
  <c r="J90" i="5"/>
  <c r="F91" i="5"/>
  <c r="I91" i="5" s="1"/>
  <c r="J91" i="5"/>
  <c r="F93" i="5"/>
  <c r="I93" i="5" s="1"/>
  <c r="F94" i="5"/>
  <c r="L94" i="5" s="1"/>
  <c r="F95" i="5"/>
  <c r="L95" i="5" s="1"/>
  <c r="F96" i="5"/>
  <c r="L96" i="5" s="1"/>
  <c r="J96" i="5"/>
  <c r="F97" i="5"/>
  <c r="L97" i="5" s="1"/>
  <c r="J97" i="5"/>
  <c r="F98" i="5"/>
  <c r="L98" i="5" s="1"/>
  <c r="J98" i="5"/>
  <c r="F99" i="5"/>
  <c r="L99" i="5" s="1"/>
  <c r="J99" i="5"/>
  <c r="F100" i="5"/>
  <c r="L100" i="5" s="1"/>
  <c r="J100" i="5"/>
  <c r="F101" i="5"/>
  <c r="L101" i="5" s="1"/>
  <c r="J101" i="5"/>
  <c r="F102" i="5"/>
  <c r="L102" i="5" s="1"/>
  <c r="J102" i="5"/>
  <c r="F103" i="5"/>
  <c r="L103" i="5" s="1"/>
  <c r="J103" i="5"/>
  <c r="F104" i="5"/>
  <c r="L104" i="5" s="1"/>
  <c r="J104" i="5"/>
  <c r="F105" i="5"/>
  <c r="L105" i="5" s="1"/>
  <c r="J105" i="5"/>
  <c r="F106" i="5"/>
  <c r="L106" i="5" s="1"/>
  <c r="J106" i="5"/>
  <c r="F107" i="5"/>
  <c r="L107" i="5" s="1"/>
  <c r="J107" i="5"/>
  <c r="F108" i="5"/>
  <c r="L108" i="5" s="1"/>
  <c r="J108" i="5"/>
  <c r="F109" i="5"/>
  <c r="L109" i="5" s="1"/>
  <c r="J109" i="5"/>
  <c r="F110" i="5"/>
  <c r="L110" i="5" s="1"/>
  <c r="J110" i="5"/>
  <c r="F111" i="5"/>
  <c r="L111" i="5" s="1"/>
  <c r="J111" i="5"/>
  <c r="F113" i="5"/>
  <c r="I113" i="5" s="1"/>
  <c r="J113" i="5"/>
  <c r="F114" i="5"/>
  <c r="I114" i="5" s="1"/>
  <c r="J114" i="5"/>
  <c r="F115" i="5"/>
  <c r="I115" i="5" s="1"/>
  <c r="J115" i="5"/>
  <c r="F116" i="5"/>
  <c r="I116" i="5" s="1"/>
  <c r="J116" i="5"/>
  <c r="F117" i="5"/>
  <c r="I117" i="5" s="1"/>
  <c r="J117" i="5"/>
  <c r="F118" i="5"/>
  <c r="I118" i="5" s="1"/>
  <c r="J118" i="5"/>
  <c r="F119" i="5"/>
  <c r="I119" i="5" s="1"/>
  <c r="J119" i="5"/>
  <c r="F120" i="5"/>
  <c r="I120" i="5" s="1"/>
  <c r="J120" i="5"/>
  <c r="F121" i="5"/>
  <c r="I121" i="5" s="1"/>
  <c r="J121" i="5"/>
  <c r="F123" i="5"/>
  <c r="L123" i="5" s="1"/>
  <c r="J123" i="5"/>
  <c r="F124" i="5"/>
  <c r="L124" i="5" s="1"/>
  <c r="J124" i="5"/>
  <c r="F125" i="5"/>
  <c r="L125" i="5" s="1"/>
  <c r="J125" i="5"/>
  <c r="F126" i="5"/>
  <c r="L126" i="5" s="1"/>
  <c r="J126" i="5"/>
  <c r="F127" i="5"/>
  <c r="L127" i="5" s="1"/>
  <c r="J127" i="5"/>
  <c r="F129" i="5"/>
  <c r="L129" i="5" s="1"/>
  <c r="J129" i="5"/>
  <c r="F130" i="5"/>
  <c r="L130" i="5" s="1"/>
  <c r="J130" i="5"/>
  <c r="F131" i="5"/>
  <c r="L131" i="5" s="1"/>
  <c r="J131" i="5"/>
  <c r="F132" i="5"/>
  <c r="L132" i="5" s="1"/>
  <c r="J132" i="5"/>
  <c r="F133" i="5"/>
  <c r="L133" i="5" s="1"/>
  <c r="J133" i="5"/>
  <c r="F134" i="5"/>
  <c r="L134" i="5" s="1"/>
  <c r="J134" i="5"/>
  <c r="F135" i="5"/>
  <c r="L135" i="5" s="1"/>
  <c r="J135" i="5"/>
  <c r="F136" i="5"/>
  <c r="L136" i="5" s="1"/>
  <c r="J136" i="5"/>
  <c r="F137" i="5"/>
  <c r="L137" i="5" s="1"/>
  <c r="J137" i="5"/>
  <c r="F138" i="5"/>
  <c r="L138" i="5" s="1"/>
  <c r="J138" i="5"/>
  <c r="F139" i="5"/>
  <c r="L139" i="5" s="1"/>
  <c r="J139" i="5"/>
  <c r="F140" i="5"/>
  <c r="L140" i="5" s="1"/>
  <c r="J140" i="5"/>
  <c r="F141" i="5"/>
  <c r="L141" i="5" s="1"/>
  <c r="J141" i="5"/>
  <c r="F142" i="5"/>
  <c r="L142" i="5" s="1"/>
  <c r="J142" i="5"/>
  <c r="L121" i="5" l="1"/>
  <c r="L34" i="5"/>
  <c r="I65" i="5"/>
  <c r="I100" i="5"/>
  <c r="I46" i="5"/>
  <c r="L33" i="5"/>
  <c r="L41" i="5"/>
  <c r="I106" i="5"/>
  <c r="I97" i="5"/>
  <c r="L78" i="5"/>
  <c r="I54" i="5"/>
  <c r="L38" i="5"/>
  <c r="L28" i="5"/>
  <c r="L77" i="5"/>
  <c r="L37" i="5"/>
  <c r="I94" i="5"/>
  <c r="I50" i="5"/>
  <c r="L40" i="5"/>
  <c r="L36" i="5"/>
  <c r="L31" i="5"/>
  <c r="L30" i="5"/>
  <c r="I101" i="5"/>
  <c r="I98" i="5"/>
  <c r="I58" i="5"/>
  <c r="L39" i="5"/>
  <c r="L35" i="5"/>
  <c r="I110" i="5"/>
  <c r="I96" i="5"/>
  <c r="I71" i="5"/>
  <c r="I61" i="5"/>
  <c r="I57" i="5"/>
  <c r="I53" i="5"/>
  <c r="I49" i="5"/>
  <c r="I45" i="5"/>
  <c r="L85" i="5"/>
  <c r="I69" i="5"/>
  <c r="I66" i="5"/>
  <c r="I59" i="5"/>
  <c r="I55" i="5"/>
  <c r="I51" i="5"/>
  <c r="I47" i="5"/>
  <c r="I43" i="5"/>
  <c r="I109" i="5"/>
  <c r="I104" i="5"/>
  <c r="L86" i="5"/>
  <c r="I70" i="5"/>
  <c r="I67" i="5"/>
  <c r="I60" i="5"/>
  <c r="I56" i="5"/>
  <c r="I52" i="5"/>
  <c r="I48" i="5"/>
  <c r="I44" i="5"/>
  <c r="L89" i="5"/>
  <c r="L81" i="5"/>
  <c r="L73" i="5"/>
  <c r="I108" i="5"/>
  <c r="I105" i="5"/>
  <c r="I102" i="5"/>
  <c r="L90" i="5"/>
  <c r="L82" i="5"/>
  <c r="L74" i="5"/>
  <c r="I68" i="5"/>
  <c r="I64" i="5"/>
  <c r="I126" i="5"/>
  <c r="I111" i="5"/>
  <c r="I107" i="5"/>
  <c r="I103" i="5"/>
  <c r="I99" i="5"/>
  <c r="I95" i="5"/>
  <c r="L88" i="5"/>
  <c r="L84" i="5"/>
  <c r="L80" i="5"/>
  <c r="L76" i="5"/>
  <c r="L63" i="5"/>
  <c r="L91" i="5"/>
  <c r="L87" i="5"/>
  <c r="L83" i="5"/>
  <c r="L79" i="5"/>
  <c r="L75" i="5"/>
  <c r="L117" i="5"/>
  <c r="I137" i="5"/>
  <c r="L118" i="5"/>
  <c r="L113" i="5"/>
  <c r="I140" i="5"/>
  <c r="L120" i="5"/>
  <c r="L116" i="5"/>
  <c r="L93" i="5"/>
  <c r="I136" i="5"/>
  <c r="L114" i="5"/>
  <c r="L119" i="5"/>
  <c r="L115" i="5"/>
  <c r="I142" i="5"/>
  <c r="I133" i="5"/>
  <c r="I130" i="5"/>
  <c r="I125" i="5"/>
  <c r="I127" i="5"/>
  <c r="I123" i="5"/>
  <c r="I141" i="5"/>
  <c r="I138" i="5"/>
  <c r="I132" i="5"/>
  <c r="I129" i="5"/>
  <c r="I124" i="5"/>
  <c r="I139" i="5"/>
  <c r="I135" i="5"/>
  <c r="I131" i="5"/>
  <c r="I134" i="5"/>
  <c r="F29" i="5" l="1"/>
  <c r="L29" i="5" s="1"/>
  <c r="J29" i="5"/>
  <c r="F32" i="5"/>
  <c r="L32" i="5" s="1"/>
  <c r="J32" i="5"/>
  <c r="F42" i="5"/>
  <c r="I42" i="5" s="1"/>
  <c r="J42" i="5"/>
  <c r="F62" i="5"/>
  <c r="I62" i="5" s="1"/>
  <c r="J62" i="5"/>
  <c r="F72" i="5"/>
  <c r="L72" i="5" s="1"/>
  <c r="J72" i="5"/>
  <c r="F92" i="5"/>
  <c r="L92" i="5" s="1"/>
  <c r="F112" i="5"/>
  <c r="L112" i="5" s="1"/>
  <c r="J112" i="5"/>
  <c r="F122" i="5"/>
  <c r="I122" i="5" s="1"/>
  <c r="J122" i="5"/>
  <c r="F128" i="5"/>
  <c r="L128" i="5" s="1"/>
  <c r="J128" i="5"/>
  <c r="I29" i="5" l="1"/>
  <c r="I92" i="5"/>
  <c r="I32" i="5"/>
  <c r="I112" i="5"/>
  <c r="L62" i="5"/>
  <c r="L42" i="5"/>
  <c r="I128" i="5"/>
  <c r="I72" i="5"/>
  <c r="L122" i="5"/>
  <c r="H143" i="5"/>
  <c r="H143" i="9" l="1"/>
  <c r="K141" i="9"/>
  <c r="K140" i="9"/>
  <c r="K139" i="9"/>
  <c r="K138" i="9"/>
  <c r="K137" i="9"/>
  <c r="K136" i="9"/>
  <c r="H122" i="9"/>
  <c r="J120" i="9"/>
  <c r="F120" i="9"/>
  <c r="I120" i="9" s="1"/>
  <c r="L119" i="9"/>
  <c r="J119" i="9"/>
  <c r="F119" i="9"/>
  <c r="I119" i="9" s="1"/>
  <c r="J118" i="9"/>
  <c r="F118" i="9"/>
  <c r="I118" i="9" s="1"/>
  <c r="J117" i="9"/>
  <c r="F117" i="9"/>
  <c r="I117" i="9" s="1"/>
  <c r="J116" i="9"/>
  <c r="F116" i="9"/>
  <c r="I116" i="9" s="1"/>
  <c r="J115" i="9"/>
  <c r="F115" i="9"/>
  <c r="I115" i="9" s="1"/>
  <c r="J114" i="9"/>
  <c r="F114" i="9"/>
  <c r="I114" i="9" s="1"/>
  <c r="J113" i="9"/>
  <c r="F113" i="9"/>
  <c r="I113" i="9" s="1"/>
  <c r="J112" i="9"/>
  <c r="F112" i="9"/>
  <c r="I112" i="9" s="1"/>
  <c r="J111" i="9"/>
  <c r="F111" i="9"/>
  <c r="J110" i="9"/>
  <c r="F110" i="9"/>
  <c r="L110" i="9" s="1"/>
  <c r="J109" i="9"/>
  <c r="F109" i="9"/>
  <c r="I109" i="9" s="1"/>
  <c r="J108" i="9"/>
  <c r="F108" i="9"/>
  <c r="I108" i="9" s="1"/>
  <c r="L107" i="9"/>
  <c r="J107" i="9"/>
  <c r="F107" i="9"/>
  <c r="I107" i="9" s="1"/>
  <c r="J106" i="9"/>
  <c r="F106" i="9"/>
  <c r="I106" i="9" s="1"/>
  <c r="AB105" i="9"/>
  <c r="AB108" i="9" s="1"/>
  <c r="Z105" i="9"/>
  <c r="Y105" i="9"/>
  <c r="X105" i="9"/>
  <c r="J105" i="9"/>
  <c r="F105" i="9"/>
  <c r="I105" i="9" s="1"/>
  <c r="J104" i="9"/>
  <c r="F104" i="9"/>
  <c r="I104" i="9" s="1"/>
  <c r="AB103" i="9"/>
  <c r="Z103" i="9"/>
  <c r="V103" i="9"/>
  <c r="J103" i="9"/>
  <c r="F103" i="9"/>
  <c r="Y103" i="9" s="1"/>
  <c r="AB102" i="9"/>
  <c r="Z102" i="9"/>
  <c r="V102" i="9"/>
  <c r="J102" i="9"/>
  <c r="F102" i="9"/>
  <c r="Y102" i="9" s="1"/>
  <c r="J101" i="9"/>
  <c r="F101" i="9"/>
  <c r="I101" i="9" s="1"/>
  <c r="L100" i="9"/>
  <c r="J100" i="9"/>
  <c r="F100" i="9"/>
  <c r="I100" i="9" s="1"/>
  <c r="J99" i="9"/>
  <c r="F99" i="9"/>
  <c r="I99" i="9" s="1"/>
  <c r="J98" i="9"/>
  <c r="F98" i="9"/>
  <c r="I98" i="9" s="1"/>
  <c r="J97" i="9"/>
  <c r="F97" i="9"/>
  <c r="I97" i="9" s="1"/>
  <c r="J96" i="9"/>
  <c r="F96" i="9"/>
  <c r="I96" i="9" s="1"/>
  <c r="J95" i="9"/>
  <c r="F95" i="9"/>
  <c r="I95" i="9" s="1"/>
  <c r="J94" i="9"/>
  <c r="F94" i="9"/>
  <c r="I94" i="9" s="1"/>
  <c r="J93" i="9"/>
  <c r="F93" i="9"/>
  <c r="I93" i="9" s="1"/>
  <c r="L92" i="9"/>
  <c r="J92" i="9"/>
  <c r="F92" i="9"/>
  <c r="I92" i="9" s="1"/>
  <c r="J91" i="9"/>
  <c r="F91" i="9"/>
  <c r="I91" i="9" s="1"/>
  <c r="J90" i="9"/>
  <c r="F90" i="9"/>
  <c r="I90" i="9" s="1"/>
  <c r="J89" i="9"/>
  <c r="F89" i="9"/>
  <c r="I89" i="9" s="1"/>
  <c r="J88" i="9"/>
  <c r="F88" i="9"/>
  <c r="I88" i="9" s="1"/>
  <c r="J87" i="9"/>
  <c r="F87" i="9"/>
  <c r="I87" i="9" s="1"/>
  <c r="J86" i="9"/>
  <c r="F86" i="9"/>
  <c r="I86" i="9" s="1"/>
  <c r="J85" i="9"/>
  <c r="F85" i="9"/>
  <c r="I85" i="9" s="1"/>
  <c r="L84" i="9"/>
  <c r="J84" i="9"/>
  <c r="F84" i="9"/>
  <c r="I84" i="9" s="1"/>
  <c r="J83" i="9"/>
  <c r="F83" i="9"/>
  <c r="I83" i="9" s="1"/>
  <c r="J82" i="9"/>
  <c r="F82" i="9"/>
  <c r="I82" i="9" s="1"/>
  <c r="J81" i="9"/>
  <c r="F81" i="9"/>
  <c r="I81" i="9" s="1"/>
  <c r="J80" i="9"/>
  <c r="F80" i="9"/>
  <c r="I80" i="9" s="1"/>
  <c r="J79" i="9"/>
  <c r="F79" i="9"/>
  <c r="I79" i="9" s="1"/>
  <c r="J78" i="9"/>
  <c r="F78" i="9"/>
  <c r="I78" i="9" s="1"/>
  <c r="J77" i="9"/>
  <c r="F77" i="9"/>
  <c r="I77" i="9" s="1"/>
  <c r="L76" i="9"/>
  <c r="J76" i="9"/>
  <c r="F76" i="9"/>
  <c r="I76" i="9" s="1"/>
  <c r="J75" i="9"/>
  <c r="F75" i="9"/>
  <c r="I75" i="9" s="1"/>
  <c r="J74" i="9"/>
  <c r="F74" i="9"/>
  <c r="I74" i="9" s="1"/>
  <c r="J73" i="9"/>
  <c r="F73" i="9"/>
  <c r="I73" i="9" s="1"/>
  <c r="J72" i="9"/>
  <c r="F72" i="9"/>
  <c r="I72" i="9" s="1"/>
  <c r="J71" i="9"/>
  <c r="F71" i="9"/>
  <c r="I71" i="9" s="1"/>
  <c r="J70" i="9"/>
  <c r="F70" i="9"/>
  <c r="I70" i="9" s="1"/>
  <c r="J69" i="9"/>
  <c r="F69" i="9"/>
  <c r="I69" i="9" s="1"/>
  <c r="J68" i="9"/>
  <c r="F68" i="9"/>
  <c r="I68" i="9" s="1"/>
  <c r="J67" i="9"/>
  <c r="F67" i="9"/>
  <c r="I67" i="9" s="1"/>
  <c r="J66" i="9"/>
  <c r="F66" i="9"/>
  <c r="I66" i="9" s="1"/>
  <c r="J65" i="9"/>
  <c r="F65" i="9"/>
  <c r="I65" i="9" s="1"/>
  <c r="J64" i="9"/>
  <c r="F64" i="9"/>
  <c r="I64" i="9" s="1"/>
  <c r="J63" i="9"/>
  <c r="F63" i="9"/>
  <c r="I63" i="9" s="1"/>
  <c r="L62" i="9"/>
  <c r="J62" i="9"/>
  <c r="F62" i="9"/>
  <c r="I62" i="9" s="1"/>
  <c r="J61" i="9"/>
  <c r="F61" i="9"/>
  <c r="I61" i="9" s="1"/>
  <c r="J60" i="9"/>
  <c r="F60" i="9"/>
  <c r="I60" i="9" s="1"/>
  <c r="J59" i="9"/>
  <c r="F59" i="9"/>
  <c r="I59" i="9" s="1"/>
  <c r="J58" i="9"/>
  <c r="F58" i="9"/>
  <c r="I58" i="9" s="1"/>
  <c r="J57" i="9"/>
  <c r="F57" i="9"/>
  <c r="I57" i="9" s="1"/>
  <c r="J56" i="9"/>
  <c r="F56" i="9"/>
  <c r="I56" i="9" s="1"/>
  <c r="J55" i="9"/>
  <c r="F55" i="9"/>
  <c r="I55" i="9" s="1"/>
  <c r="J54" i="9"/>
  <c r="F54" i="9"/>
  <c r="I54" i="9" s="1"/>
  <c r="J53" i="9"/>
  <c r="F53" i="9"/>
  <c r="I53" i="9" s="1"/>
  <c r="J52" i="9"/>
  <c r="F52" i="9"/>
  <c r="I52" i="9" s="1"/>
  <c r="L51" i="9"/>
  <c r="J51" i="9"/>
  <c r="F51" i="9"/>
  <c r="I51" i="9" s="1"/>
  <c r="J50" i="9"/>
  <c r="F50" i="9"/>
  <c r="I50" i="9" s="1"/>
  <c r="J49" i="9"/>
  <c r="F49" i="9"/>
  <c r="I49" i="9" s="1"/>
  <c r="J48" i="9"/>
  <c r="F48" i="9"/>
  <c r="I48" i="9" s="1"/>
  <c r="J47" i="9"/>
  <c r="F47" i="9"/>
  <c r="I47" i="9" s="1"/>
  <c r="J46" i="9"/>
  <c r="F46" i="9"/>
  <c r="I46" i="9" s="1"/>
  <c r="J45" i="9"/>
  <c r="F45" i="9"/>
  <c r="I45" i="9" s="1"/>
  <c r="J44" i="9"/>
  <c r="F44" i="9"/>
  <c r="I44" i="9" s="1"/>
  <c r="J43" i="9"/>
  <c r="F43" i="9"/>
  <c r="I43" i="9" s="1"/>
  <c r="J42" i="9"/>
  <c r="F42" i="9"/>
  <c r="I42" i="9" s="1"/>
  <c r="J41" i="9"/>
  <c r="F41" i="9"/>
  <c r="I41" i="9" s="1"/>
  <c r="J40" i="9"/>
  <c r="F40" i="9"/>
  <c r="I40" i="9" s="1"/>
  <c r="J39" i="9"/>
  <c r="F39" i="9"/>
  <c r="I39" i="9" s="1"/>
  <c r="J38" i="9"/>
  <c r="F38" i="9"/>
  <c r="I38" i="9" s="1"/>
  <c r="L37" i="9"/>
  <c r="J37" i="9"/>
  <c r="F37" i="9"/>
  <c r="I37" i="9" s="1"/>
  <c r="J36" i="9"/>
  <c r="F36" i="9"/>
  <c r="I36" i="9" s="1"/>
  <c r="J35" i="9"/>
  <c r="F35" i="9"/>
  <c r="I35" i="9" s="1"/>
  <c r="L34" i="9"/>
  <c r="J34" i="9"/>
  <c r="F34" i="9"/>
  <c r="I34" i="9" s="1"/>
  <c r="J33" i="9"/>
  <c r="F33" i="9"/>
  <c r="I33" i="9" s="1"/>
  <c r="J32" i="9"/>
  <c r="F32" i="9"/>
  <c r="I32" i="9" s="1"/>
  <c r="J31" i="9"/>
  <c r="F31" i="9"/>
  <c r="I31" i="9" s="1"/>
  <c r="J30" i="9"/>
  <c r="F30" i="9"/>
  <c r="I30" i="9" s="1"/>
  <c r="L29" i="9"/>
  <c r="J29" i="9"/>
  <c r="F29" i="9"/>
  <c r="I29" i="9" s="1"/>
  <c r="J28" i="9"/>
  <c r="F28" i="9"/>
  <c r="I28" i="9" s="1"/>
  <c r="J27" i="9"/>
  <c r="F27" i="9"/>
  <c r="I27" i="9" s="1"/>
  <c r="L26" i="9"/>
  <c r="J26" i="9"/>
  <c r="F26" i="9"/>
  <c r="I26" i="9" s="1"/>
  <c r="J25" i="9"/>
  <c r="F25" i="9"/>
  <c r="I25" i="9" s="1"/>
  <c r="J24" i="9"/>
  <c r="F24" i="9"/>
  <c r="I24" i="9" s="1"/>
  <c r="J23" i="9"/>
  <c r="F23" i="9"/>
  <c r="I23" i="9" s="1"/>
  <c r="J22" i="9"/>
  <c r="F22" i="9"/>
  <c r="I22" i="9" s="1"/>
  <c r="L21" i="9"/>
  <c r="J21" i="9"/>
  <c r="F21" i="9"/>
  <c r="I21" i="9" s="1"/>
  <c r="J20" i="9"/>
  <c r="F20" i="9"/>
  <c r="I20" i="9" s="1"/>
  <c r="J19" i="9"/>
  <c r="F19" i="9"/>
  <c r="I19" i="9" s="1"/>
  <c r="L18" i="9"/>
  <c r="J18" i="9"/>
  <c r="F18" i="9"/>
  <c r="I18" i="9" s="1"/>
  <c r="J17" i="9"/>
  <c r="F17" i="9"/>
  <c r="I17" i="9" s="1"/>
  <c r="J16" i="9"/>
  <c r="F16" i="9"/>
  <c r="I16" i="9" s="1"/>
  <c r="J15" i="9"/>
  <c r="F15" i="9"/>
  <c r="I15" i="9" s="1"/>
  <c r="J14" i="9"/>
  <c r="F14" i="9"/>
  <c r="I14" i="9" s="1"/>
  <c r="L13" i="9"/>
  <c r="J13" i="9"/>
  <c r="F13" i="9"/>
  <c r="I13" i="9" s="1"/>
  <c r="J12" i="9"/>
  <c r="F12" i="9"/>
  <c r="I12" i="9" s="1"/>
  <c r="J11" i="9"/>
  <c r="F11" i="9"/>
  <c r="I11" i="9" s="1"/>
  <c r="J10" i="9"/>
  <c r="F10" i="9"/>
  <c r="I10" i="9" s="1"/>
  <c r="J9" i="9"/>
  <c r="F9" i="9"/>
  <c r="I9" i="9" s="1"/>
  <c r="J8" i="9"/>
  <c r="F8" i="9"/>
  <c r="I8" i="9" s="1"/>
  <c r="J7" i="9"/>
  <c r="F7" i="9"/>
  <c r="I7" i="9" s="1"/>
  <c r="J6" i="9"/>
  <c r="F6" i="9"/>
  <c r="I6" i="9" s="1"/>
  <c r="L8" i="9" l="1"/>
  <c r="L46" i="9"/>
  <c r="L75" i="9"/>
  <c r="L83" i="9"/>
  <c r="L91" i="9"/>
  <c r="L99" i="9"/>
  <c r="L67" i="9"/>
  <c r="L106" i="9"/>
  <c r="L114" i="9"/>
  <c r="K143" i="9"/>
  <c r="K146" i="9" s="1"/>
  <c r="L17" i="9"/>
  <c r="L25" i="9"/>
  <c r="L33" i="9"/>
  <c r="L43" i="9"/>
  <c r="L59" i="9"/>
  <c r="L80" i="9"/>
  <c r="L88" i="9"/>
  <c r="L96" i="9"/>
  <c r="L103" i="9"/>
  <c r="L105" i="9"/>
  <c r="I110" i="9"/>
  <c r="L118" i="9"/>
  <c r="L9" i="9"/>
  <c r="L14" i="9"/>
  <c r="L22" i="9"/>
  <c r="L30" i="9"/>
  <c r="L38" i="9"/>
  <c r="L54" i="9"/>
  <c r="L79" i="9"/>
  <c r="L87" i="9"/>
  <c r="L95" i="9"/>
  <c r="L115" i="9"/>
  <c r="L7" i="9"/>
  <c r="J122" i="9"/>
  <c r="L11" i="9"/>
  <c r="L15" i="9"/>
  <c r="L19" i="9"/>
  <c r="L23" i="9"/>
  <c r="L27" i="9"/>
  <c r="L31" i="9"/>
  <c r="L35" i="9"/>
  <c r="L39" i="9"/>
  <c r="L47" i="9"/>
  <c r="L55" i="9"/>
  <c r="L63" i="9"/>
  <c r="L71" i="9"/>
  <c r="L77" i="9"/>
  <c r="L81" i="9"/>
  <c r="L85" i="9"/>
  <c r="L89" i="9"/>
  <c r="L93" i="9"/>
  <c r="L97" i="9"/>
  <c r="L101" i="9"/>
  <c r="L6" i="9"/>
  <c r="L10" i="9"/>
  <c r="L70" i="9"/>
  <c r="L109" i="9"/>
  <c r="L113" i="9"/>
  <c r="L117" i="9"/>
  <c r="L12" i="9"/>
  <c r="L16" i="9"/>
  <c r="L20" i="9"/>
  <c r="L24" i="9"/>
  <c r="L28" i="9"/>
  <c r="L32" i="9"/>
  <c r="L36" i="9"/>
  <c r="L42" i="9"/>
  <c r="L50" i="9"/>
  <c r="L58" i="9"/>
  <c r="L66" i="9"/>
  <c r="L74" i="9"/>
  <c r="L78" i="9"/>
  <c r="L82" i="9"/>
  <c r="L86" i="9"/>
  <c r="L90" i="9"/>
  <c r="L94" i="9"/>
  <c r="L98" i="9"/>
  <c r="L102" i="9"/>
  <c r="L104" i="9"/>
  <c r="L108" i="9"/>
  <c r="L112" i="9"/>
  <c r="L116" i="9"/>
  <c r="L120" i="9"/>
  <c r="K147" i="9"/>
  <c r="K148" i="9" s="1"/>
  <c r="K149" i="9" s="1"/>
  <c r="L41" i="9"/>
  <c r="L45" i="9"/>
  <c r="L49" i="9"/>
  <c r="L53" i="9"/>
  <c r="L57" i="9"/>
  <c r="L61" i="9"/>
  <c r="L69" i="9"/>
  <c r="L73" i="9"/>
  <c r="L40" i="9"/>
  <c r="L44" i="9"/>
  <c r="L48" i="9"/>
  <c r="L52" i="9"/>
  <c r="L56" i="9"/>
  <c r="L60" i="9"/>
  <c r="L64" i="9"/>
  <c r="L68" i="9"/>
  <c r="L72" i="9"/>
  <c r="AB109" i="9"/>
  <c r="AB110" i="9" s="1"/>
  <c r="AB111" i="9" s="1"/>
  <c r="L111" i="9"/>
  <c r="I111" i="9"/>
  <c r="L65" i="9"/>
  <c r="I102" i="9"/>
  <c r="I103" i="9"/>
  <c r="L122" i="9" l="1"/>
  <c r="L125" i="9" s="1"/>
  <c r="I122" i="9"/>
  <c r="L126" i="9"/>
  <c r="L127" i="9" s="1"/>
  <c r="L128" i="9" s="1"/>
  <c r="H144" i="8"/>
  <c r="H166" i="8"/>
  <c r="H167" i="8" s="1"/>
  <c r="H168" i="8" s="1"/>
  <c r="H169" i="8" s="1"/>
  <c r="H170" i="8" s="1"/>
  <c r="H171" i="8" s="1"/>
  <c r="H134" i="8"/>
  <c r="G135" i="8" s="1"/>
  <c r="H135" i="8" s="1"/>
  <c r="H137" i="8"/>
  <c r="H138" i="8"/>
  <c r="G139" i="8" s="1"/>
  <c r="H139" i="8" s="1"/>
  <c r="G140" i="8" s="1"/>
  <c r="H140" i="8" s="1"/>
  <c r="G141" i="8" s="1"/>
  <c r="H141" i="8" s="1"/>
  <c r="G142" i="8" s="1"/>
  <c r="H142" i="8" s="1"/>
  <c r="G143" i="8" s="1"/>
  <c r="H143" i="8" s="1"/>
  <c r="H145" i="8"/>
  <c r="H146" i="8"/>
  <c r="H133" i="8"/>
  <c r="G147" i="8"/>
  <c r="H147" i="8" s="1"/>
  <c r="G148" i="8" s="1"/>
  <c r="H148" i="8" s="1"/>
  <c r="G149" i="8" s="1"/>
  <c r="H149" i="8" s="1"/>
  <c r="G150" i="8" s="1"/>
  <c r="H150" i="8" s="1"/>
  <c r="G151" i="8" s="1"/>
  <c r="H151" i="8" s="1"/>
  <c r="G152" i="8" s="1"/>
  <c r="H152" i="8" s="1"/>
  <c r="G153" i="8" s="1"/>
  <c r="H153" i="8" s="1"/>
  <c r="G14" i="8"/>
  <c r="G15" i="8"/>
  <c r="H15" i="8" s="1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H17" i="8" l="1"/>
  <c r="H18" i="8" s="1"/>
  <c r="H19" i="8" s="1"/>
  <c r="H20" i="8" s="1"/>
  <c r="H21" i="8" s="1"/>
  <c r="H22" i="8" s="1"/>
  <c r="H23" i="8" s="1"/>
  <c r="H24" i="8" s="1"/>
  <c r="H25" i="8" s="1"/>
  <c r="H26" i="8" s="1"/>
  <c r="H27" i="8" s="1"/>
  <c r="H28" i="8" s="1"/>
  <c r="H29" i="8" s="1"/>
  <c r="H30" i="8" s="1"/>
  <c r="H31" i="8" s="1"/>
  <c r="H32" i="8" s="1"/>
  <c r="H33" i="8" s="1"/>
  <c r="H34" i="8" s="1"/>
  <c r="H35" i="8" s="1"/>
  <c r="H36" i="8" s="1"/>
  <c r="H37" i="8" s="1"/>
  <c r="H38" i="8" s="1"/>
  <c r="H39" i="8" s="1"/>
  <c r="H40" i="8" s="1"/>
  <c r="H41" i="8" s="1"/>
  <c r="H42" i="8" s="1"/>
  <c r="H43" i="8" s="1"/>
  <c r="H44" i="8" s="1"/>
  <c r="H45" i="8" s="1"/>
  <c r="H46" i="8" s="1"/>
  <c r="H47" i="8" s="1"/>
  <c r="H48" i="8" s="1"/>
  <c r="H49" i="8" s="1"/>
  <c r="H50" i="8" s="1"/>
  <c r="H51" i="8" s="1"/>
  <c r="H52" i="8" s="1"/>
  <c r="H53" i="8" s="1"/>
  <c r="H54" i="8" s="1"/>
  <c r="H55" i="8" s="1"/>
  <c r="H56" i="8" s="1"/>
  <c r="H57" i="8" s="1"/>
  <c r="H58" i="8" s="1"/>
  <c r="H59" i="8" s="1"/>
  <c r="H60" i="8" s="1"/>
  <c r="H61" i="8" s="1"/>
  <c r="H62" i="8" s="1"/>
  <c r="H63" i="8" s="1"/>
  <c r="H64" i="8" s="1"/>
  <c r="H65" i="8" s="1"/>
  <c r="H66" i="8" s="1"/>
  <c r="H67" i="8" s="1"/>
  <c r="H68" i="8" s="1"/>
  <c r="H69" i="8" s="1"/>
  <c r="H70" i="8" s="1"/>
  <c r="H71" i="8" s="1"/>
  <c r="H72" i="8" s="1"/>
  <c r="H73" i="8" s="1"/>
  <c r="H74" i="8" s="1"/>
  <c r="H75" i="8" s="1"/>
  <c r="H76" i="8" s="1"/>
  <c r="H77" i="8" s="1"/>
  <c r="H78" i="8" s="1"/>
  <c r="H79" i="8" s="1"/>
  <c r="H80" i="8" s="1"/>
  <c r="H81" i="8" s="1"/>
  <c r="H82" i="8" s="1"/>
  <c r="H83" i="8" s="1"/>
  <c r="H84" i="8" s="1"/>
  <c r="H85" i="8" s="1"/>
  <c r="H86" i="8" s="1"/>
  <c r="H87" i="8" s="1"/>
  <c r="H88" i="8" s="1"/>
  <c r="H89" i="8" s="1"/>
  <c r="H90" i="8" s="1"/>
  <c r="H91" i="8" s="1"/>
  <c r="H92" i="8" s="1"/>
  <c r="H93" i="8" s="1"/>
  <c r="H94" i="8" s="1"/>
  <c r="H95" i="8" s="1"/>
  <c r="H96" i="8" s="1"/>
  <c r="H97" i="8" s="1"/>
  <c r="H98" i="8" s="1"/>
  <c r="H99" i="8" s="1"/>
  <c r="H100" i="8" s="1"/>
  <c r="H101" i="8" s="1"/>
  <c r="H102" i="8" s="1"/>
  <c r="H103" i="8" s="1"/>
  <c r="H104" i="8" s="1"/>
  <c r="H105" i="8" s="1"/>
  <c r="H106" i="8" s="1"/>
  <c r="H107" i="8" s="1"/>
  <c r="H108" i="8" s="1"/>
  <c r="H109" i="8" s="1"/>
  <c r="H110" i="8" s="1"/>
  <c r="H111" i="8" s="1"/>
  <c r="H112" i="8" s="1"/>
  <c r="H113" i="8" s="1"/>
  <c r="H114" i="8" s="1"/>
  <c r="H115" i="8" s="1"/>
  <c r="H116" i="8" s="1"/>
  <c r="H117" i="8" s="1"/>
  <c r="H118" i="8" s="1"/>
  <c r="H119" i="8" s="1"/>
  <c r="H120" i="8" s="1"/>
  <c r="H121" i="8" s="1"/>
  <c r="H122" i="8" s="1"/>
  <c r="H123" i="8" s="1"/>
  <c r="H124" i="8" s="1"/>
  <c r="H125" i="8" s="1"/>
  <c r="H126" i="8" s="1"/>
  <c r="G136" i="8"/>
  <c r="H136" i="8" s="1"/>
  <c r="H154" i="8"/>
  <c r="H155" i="8" s="1"/>
  <c r="H156" i="8" s="1"/>
  <c r="H157" i="8" s="1"/>
  <c r="H158" i="8" s="1"/>
  <c r="H159" i="8" s="1"/>
  <c r="H160" i="8" s="1"/>
  <c r="H161" i="8" s="1"/>
  <c r="L143" i="5" l="1"/>
  <c r="L146" i="5" s="1"/>
  <c r="L147" i="5" s="1"/>
  <c r="L148" i="5" s="1"/>
  <c r="L149" i="5" s="1"/>
  <c r="I143" i="5"/>
  <c r="J143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Soporte Tecnico</author>
  </authors>
  <commentList>
    <comment ref="B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Soporte Tecnico:</t>
        </r>
        <r>
          <rPr>
            <sz val="9"/>
            <color indexed="81"/>
            <rFont val="Tahoma"/>
            <family val="2"/>
          </rPr>
          <t xml:space="preserve">
Nombre de la constructora o cliente solicitante</t>
        </r>
      </text>
    </comment>
    <comment ref="B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Soporte Tecnico:</t>
        </r>
        <r>
          <rPr>
            <sz val="9"/>
            <color indexed="81"/>
            <rFont val="Tahoma"/>
            <family val="2"/>
          </rPr>
          <t xml:space="preserve">
Nombre del solicitante</t>
        </r>
      </text>
    </comment>
    <comment ref="I10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Soporte Tecnico:</t>
        </r>
        <r>
          <rPr>
            <sz val="9"/>
            <color indexed="81"/>
            <rFont val="Tahoma"/>
            <family val="2"/>
          </rPr>
          <t xml:space="preserve">
Nombre del proyecto o especificaciones de los elementos a formaletear</t>
        </r>
      </text>
    </comment>
  </commentList>
</comments>
</file>

<file path=xl/sharedStrings.xml><?xml version="1.0" encoding="utf-8"?>
<sst xmlns="http://schemas.openxmlformats.org/spreadsheetml/2006/main" count="882" uniqueCount="224">
  <si>
    <t>DESCRIPCION</t>
  </si>
  <si>
    <t>CANTIDAD</t>
  </si>
  <si>
    <t>TOTAL</t>
  </si>
  <si>
    <t>Tablero</t>
  </si>
  <si>
    <t>T6001200</t>
  </si>
  <si>
    <t>T5951200</t>
  </si>
  <si>
    <t>T5901200</t>
  </si>
  <si>
    <t>T5851200</t>
  </si>
  <si>
    <t>T5801200</t>
  </si>
  <si>
    <t>T5751200</t>
  </si>
  <si>
    <t>T5701200</t>
  </si>
  <si>
    <t>T5651200</t>
  </si>
  <si>
    <t>T5601200</t>
  </si>
  <si>
    <t>T5551200</t>
  </si>
  <si>
    <t>T5501200</t>
  </si>
  <si>
    <t>T5451200</t>
  </si>
  <si>
    <t>T5401200</t>
  </si>
  <si>
    <t>T5351200</t>
  </si>
  <si>
    <t>T5301200</t>
  </si>
  <si>
    <t>T5251200</t>
  </si>
  <si>
    <t>T5201200</t>
  </si>
  <si>
    <t>T5151200</t>
  </si>
  <si>
    <t>T5101200</t>
  </si>
  <si>
    <t>T5051200</t>
  </si>
  <si>
    <t>T5001200</t>
  </si>
  <si>
    <t>T4951200</t>
  </si>
  <si>
    <t>T4901200</t>
  </si>
  <si>
    <t>T4851200</t>
  </si>
  <si>
    <t>T4801200</t>
  </si>
  <si>
    <t>T4751200</t>
  </si>
  <si>
    <t>T4701200</t>
  </si>
  <si>
    <t>T4651200</t>
  </si>
  <si>
    <t>T4601200</t>
  </si>
  <si>
    <t>T4551200</t>
  </si>
  <si>
    <t>T4501200</t>
  </si>
  <si>
    <t>T4451200</t>
  </si>
  <si>
    <t>T4401200</t>
  </si>
  <si>
    <t>T4351200</t>
  </si>
  <si>
    <t>T4301200</t>
  </si>
  <si>
    <t>T4251200</t>
  </si>
  <si>
    <t>T4201200</t>
  </si>
  <si>
    <t>T4151200</t>
  </si>
  <si>
    <t>T4101200</t>
  </si>
  <si>
    <t>T4051200</t>
  </si>
  <si>
    <t>T4001200</t>
  </si>
  <si>
    <t>T3951200</t>
  </si>
  <si>
    <t>T3901200</t>
  </si>
  <si>
    <t>T3851200</t>
  </si>
  <si>
    <t>T3801200</t>
  </si>
  <si>
    <t>T3751200</t>
  </si>
  <si>
    <t>T3701200</t>
  </si>
  <si>
    <t>T3651200</t>
  </si>
  <si>
    <t>T3601200</t>
  </si>
  <si>
    <t>T3551200</t>
  </si>
  <si>
    <t>T3501200</t>
  </si>
  <si>
    <t>T3451200</t>
  </si>
  <si>
    <t>T3401200</t>
  </si>
  <si>
    <t>T3351200</t>
  </si>
  <si>
    <t>T3301200</t>
  </si>
  <si>
    <t>T3251200</t>
  </si>
  <si>
    <t>T3201200</t>
  </si>
  <si>
    <t>T3151200</t>
  </si>
  <si>
    <t>T3101200</t>
  </si>
  <si>
    <t>T3051200</t>
  </si>
  <si>
    <t>T3001200</t>
  </si>
  <si>
    <t>T2951200</t>
  </si>
  <si>
    <t>T2901200</t>
  </si>
  <si>
    <t>T2851200</t>
  </si>
  <si>
    <t>T2801200</t>
  </si>
  <si>
    <t>T2751200</t>
  </si>
  <si>
    <t>T2701200</t>
  </si>
  <si>
    <t>T2651200</t>
  </si>
  <si>
    <t>T2601200</t>
  </si>
  <si>
    <t>T2551200</t>
  </si>
  <si>
    <t>T2501200</t>
  </si>
  <si>
    <t>T2451200</t>
  </si>
  <si>
    <t>T2401200</t>
  </si>
  <si>
    <t>T2351200</t>
  </si>
  <si>
    <t>T2301200</t>
  </si>
  <si>
    <t>T2251200</t>
  </si>
  <si>
    <t>T2201200</t>
  </si>
  <si>
    <t>T2151200</t>
  </si>
  <si>
    <t>T2101200</t>
  </si>
  <si>
    <t>T2051200</t>
  </si>
  <si>
    <t>T2001200</t>
  </si>
  <si>
    <t>T1951200</t>
  </si>
  <si>
    <t>T1901200</t>
  </si>
  <si>
    <t>T1851200</t>
  </si>
  <si>
    <t>T1801200</t>
  </si>
  <si>
    <t>T1751200</t>
  </si>
  <si>
    <t>T1701200</t>
  </si>
  <si>
    <t>T1651200</t>
  </si>
  <si>
    <t>T1601200</t>
  </si>
  <si>
    <t>T1551200</t>
  </si>
  <si>
    <t>T1501200</t>
  </si>
  <si>
    <t>T1451200</t>
  </si>
  <si>
    <t>T1401200</t>
  </si>
  <si>
    <t>T1351200</t>
  </si>
  <si>
    <t>T1301200</t>
  </si>
  <si>
    <t>T1251200</t>
  </si>
  <si>
    <t>T1201200</t>
  </si>
  <si>
    <t>T1151200</t>
  </si>
  <si>
    <t>T1101200</t>
  </si>
  <si>
    <t>T1051200</t>
  </si>
  <si>
    <t>T1001200</t>
  </si>
  <si>
    <t>T951200</t>
  </si>
  <si>
    <t>T901200</t>
  </si>
  <si>
    <t>T851200</t>
  </si>
  <si>
    <t>T801200</t>
  </si>
  <si>
    <t>T751200</t>
  </si>
  <si>
    <t>T701200</t>
  </si>
  <si>
    <t>T651200</t>
  </si>
  <si>
    <t>T601200</t>
  </si>
  <si>
    <t>T551200</t>
  </si>
  <si>
    <t>T501200</t>
  </si>
  <si>
    <t>-</t>
  </si>
  <si>
    <t>PESO (Kg)</t>
  </si>
  <si>
    <t>PESO TOTAL (Kg)</t>
  </si>
  <si>
    <t>TOTAL SUP. (m2)</t>
  </si>
  <si>
    <t>Rinconera</t>
  </si>
  <si>
    <t>R1501501200</t>
  </si>
  <si>
    <t>Grapa o Chapeta</t>
  </si>
  <si>
    <t>Tensor o Mordaza</t>
  </si>
  <si>
    <t>Tubo Manual</t>
  </si>
  <si>
    <t>Martillo Extractor</t>
  </si>
  <si>
    <t>Saca Modulos</t>
  </si>
  <si>
    <t>Pico Manual</t>
  </si>
  <si>
    <t>Alineador</t>
  </si>
  <si>
    <t>Corbata</t>
  </si>
  <si>
    <t xml:space="preserve">Angulo </t>
  </si>
  <si>
    <t>Pin</t>
  </si>
  <si>
    <t>COTIZACIÓN DE ÁREAS DE SUPERFICIE DE CONTACTO</t>
  </si>
  <si>
    <t>SUPERFICIE (m2)</t>
  </si>
  <si>
    <t>Especificaciones:</t>
  </si>
  <si>
    <t>POLÍTICAS Y CONDICIONES COMERCIALES</t>
  </si>
  <si>
    <t>El costo de alquiler  diario se cobrara a partir del día en que el equipo  sea  despachado de nuestras instalaciones.</t>
  </si>
  <si>
    <t xml:space="preserve">Transportes dentro de Bogotá por viaje: </t>
  </si>
  <si>
    <t>1. Certificado de Cámara de Comercio, no superior a 30 días</t>
  </si>
  <si>
    <t>2. Fotocopia del RUT</t>
  </si>
  <si>
    <t xml:space="preserve">3. Fotocopia de la cédula de ciudadanía del Representante Legal  </t>
  </si>
  <si>
    <t>Esperamos ser participes del desarrollo de sus proyectos.</t>
  </si>
  <si>
    <t>Atentamente,</t>
  </si>
  <si>
    <r>
      <t xml:space="preserve">Cualquier daño o deterioro que sufra el equipo en obra será asumido por el </t>
    </r>
    <r>
      <rPr>
        <b/>
        <sz val="10"/>
        <rFont val="Calibri"/>
        <family val="2"/>
        <scheme val="minor"/>
      </rPr>
      <t>ARRENDATARIO.</t>
    </r>
  </si>
  <si>
    <t>A</t>
  </si>
  <si>
    <t>Gr</t>
  </si>
  <si>
    <t>Ten</t>
  </si>
  <si>
    <t>Al</t>
  </si>
  <si>
    <t>Pn</t>
  </si>
  <si>
    <t>Co</t>
  </si>
  <si>
    <t>Subtotal</t>
  </si>
  <si>
    <t>Señor (es):</t>
  </si>
  <si>
    <t>ACCESORIOS FORMALETA METALICA</t>
  </si>
  <si>
    <t xml:space="preserve">Nota:                                                                                                                                                                                                               </t>
  </si>
  <si>
    <t>*No se ofrecera ningun tipo de garantía por afectaciones causadas por golpes y mal uso que pueda tener el equipo en obra.</t>
  </si>
  <si>
    <t>TARIFAS TRANSPORTES</t>
  </si>
  <si>
    <r>
      <t>El costo de los equipos tanto en alquiler como en venta NO incluye</t>
    </r>
    <r>
      <rPr>
        <b/>
        <sz val="10"/>
        <rFont val="Calibri"/>
        <family val="2"/>
        <scheme val="minor"/>
      </rPr>
      <t xml:space="preserve"> TRANSPORTE</t>
    </r>
    <r>
      <rPr>
        <sz val="10"/>
        <rFont val="Calibri"/>
        <family val="2"/>
        <scheme val="minor"/>
      </rPr>
      <t xml:space="preserve">. </t>
    </r>
  </si>
  <si>
    <t>TOTAL PESO (Kg)</t>
  </si>
  <si>
    <t>Cm</t>
  </si>
  <si>
    <t>Caja metálica</t>
  </si>
  <si>
    <t>Andamio Triangular ó Palomera</t>
  </si>
  <si>
    <t>Tubo Manual ó Sacapin</t>
  </si>
  <si>
    <t>Saca-Módulos</t>
  </si>
  <si>
    <t>Me</t>
  </si>
  <si>
    <t>Pal</t>
  </si>
  <si>
    <t>Pico Manual ó Guía</t>
  </si>
  <si>
    <t>Pm</t>
  </si>
  <si>
    <t>Sp</t>
  </si>
  <si>
    <t>Sm</t>
  </si>
  <si>
    <t>Pin-Chapeta</t>
  </si>
  <si>
    <t>Pc</t>
  </si>
  <si>
    <t>DOCUMENTACIÓN REQUERIDA PARA ELABORACIÓN DEL CONTRATO PARA EL ALQUILER DE EQUIPOS</t>
  </si>
  <si>
    <t xml:space="preserve">DOCUMENTACIÓN REQUERIDA PARA EL ALQUILER Y DESPACHO DE EQUIPOS </t>
  </si>
  <si>
    <t>5. Certificación bancaria con fecha de expedición no superior a 30 días.</t>
  </si>
  <si>
    <t>4. (2) Dos referencias Comerciales, con fecha no superiores a 30 días de expedición.</t>
  </si>
  <si>
    <t>1. Contrato de alquiler firmado y autenticado por el representante legal de la empresa.</t>
  </si>
  <si>
    <t>2. Pagare firmado en blanco por el representante legal de la empresa, como respaldo del valor comercial del equipo.</t>
  </si>
  <si>
    <t>5. Cancelación del primer mes de alquiler por anticipado.</t>
  </si>
  <si>
    <t>3. Orden de pedido por escrito con las especificaciones del equipo y datos completos del sitio de la obra: Dirección, teléfono, persona contacto y cargo.</t>
  </si>
  <si>
    <t>4. Pagaré en blanco y carta de instrucciones, firmado por el representante legal de la empresa, como respaldo del valor comercial del equipo.</t>
  </si>
  <si>
    <t>Formaleta Metálica</t>
  </si>
  <si>
    <t>*Los documentos serán recibidos por fax únicamente para adelantar el trámite del contrato.  Los originales deberán ser remitidos a la empresa para su correspondiente verificación y estudio.</t>
  </si>
  <si>
    <t>Correo:</t>
  </si>
  <si>
    <t>Contacto:</t>
  </si>
  <si>
    <t>Telefono:</t>
  </si>
  <si>
    <t>Direccion:</t>
  </si>
  <si>
    <t>TRANSPORTE OPCIONAL</t>
  </si>
  <si>
    <t>Tel: 3176455882 / 2631263 Ext:114-118</t>
  </si>
  <si>
    <t>Obra:</t>
  </si>
  <si>
    <t>Vr. Unitario Alquiler/Dia</t>
  </si>
  <si>
    <t>Vr. Total Alquiler /Dia</t>
  </si>
  <si>
    <t xml:space="preserve">PARAL LARGO </t>
  </si>
  <si>
    <t xml:space="preserve">PARAL CORTO </t>
  </si>
  <si>
    <t>TOTAL (Día)</t>
  </si>
  <si>
    <t>TOTAL (Mes)</t>
  </si>
  <si>
    <t>COTIZACIÓN  EQUIPO DE APUNTALAMIENTO Y SOPORTE</t>
  </si>
  <si>
    <r>
      <t xml:space="preserve">Cercha: </t>
    </r>
    <r>
      <rPr>
        <sz val="10"/>
        <color theme="1"/>
        <rFont val="Calibri"/>
        <family val="2"/>
        <scheme val="minor"/>
      </rPr>
      <t>Long 3,00m en angulo de 1 * 1/2 Caballete en varilla lisa y Zip - Zap de 5/8</t>
    </r>
  </si>
  <si>
    <r>
      <t xml:space="preserve">Cercha: </t>
    </r>
    <r>
      <rPr>
        <sz val="10"/>
        <color theme="1"/>
        <rFont val="Calibri"/>
        <family val="2"/>
        <scheme val="minor"/>
      </rPr>
      <t>Long 2,00m en angulo de 1 * 1/2 Caballete en varilla lisa y Zip - Zap de 5/8</t>
    </r>
  </si>
  <si>
    <r>
      <t xml:space="preserve">Cercha: </t>
    </r>
    <r>
      <rPr>
        <sz val="10"/>
        <color theme="1"/>
        <rFont val="Calibri"/>
        <family val="2"/>
        <scheme val="minor"/>
      </rPr>
      <t>Long 1,40m en angulo de 1 * 1/2 Caballete en varilla lisa y Zip - Zap de 5/8</t>
    </r>
  </si>
  <si>
    <r>
      <t>Cruceta Larga:</t>
    </r>
    <r>
      <rPr>
        <sz val="10"/>
        <color theme="1"/>
        <rFont val="Calibri"/>
        <family val="2"/>
        <scheme val="minor"/>
      </rPr>
      <t xml:space="preserve"> Long. 3,30m en angulo de 1 * 1/8</t>
    </r>
  </si>
  <si>
    <r>
      <t xml:space="preserve">Cruceta Corta: </t>
    </r>
    <r>
      <rPr>
        <sz val="10"/>
        <color theme="1"/>
        <rFont val="Calibri"/>
        <family val="2"/>
        <scheme val="minor"/>
      </rPr>
      <t>Long. 1,94 en angulo de 1 * 1/8</t>
    </r>
  </si>
  <si>
    <r>
      <rPr>
        <b/>
        <sz val="10"/>
        <color theme="1"/>
        <rFont val="Calibri"/>
        <family val="2"/>
        <scheme val="minor"/>
      </rPr>
      <t xml:space="preserve">Paral  ------: </t>
    </r>
    <r>
      <rPr>
        <sz val="10"/>
        <color theme="1"/>
        <rFont val="Calibri"/>
        <family val="2"/>
        <scheme val="minor"/>
      </rPr>
      <t>Uso desde ----- hasta -----</t>
    </r>
  </si>
  <si>
    <t xml:space="preserve">Vr. Unitario Alquiler/ Dia </t>
  </si>
  <si>
    <t xml:space="preserve">Vr. Total Alquiler/ Dia </t>
  </si>
  <si>
    <r>
      <t xml:space="preserve">Limpieza general de tablero : Vr metro cuadrado  pintura y enderezado de bandas $25.000 + iva , </t>
    </r>
    <r>
      <rPr>
        <b/>
        <u/>
        <sz val="10"/>
        <rFont val="Calibri"/>
        <family val="2"/>
        <scheme val="minor"/>
      </rPr>
      <t>Si lo requiere</t>
    </r>
  </si>
  <si>
    <t>Terminos y condiciones :</t>
  </si>
  <si>
    <r>
      <t>2. No incluye equipo de apuntalamiento y soporte (</t>
    </r>
    <r>
      <rPr>
        <i/>
        <sz val="11"/>
        <color theme="1"/>
        <rFont val="Calibri"/>
        <family val="2"/>
      </rPr>
      <t xml:space="preserve">Herraje: </t>
    </r>
    <r>
      <rPr>
        <b/>
        <i/>
        <sz val="11"/>
        <color theme="1"/>
        <rFont val="Calibri"/>
        <family val="2"/>
      </rPr>
      <t>CERCHA y PARAL</t>
    </r>
    <r>
      <rPr>
        <sz val="11"/>
        <color theme="1"/>
        <rFont val="Calibri"/>
        <family val="2"/>
      </rPr>
      <t>)</t>
    </r>
  </si>
  <si>
    <t xml:space="preserve">3. Los accesorios se envian correspondiente a la cantidad de tableros </t>
  </si>
  <si>
    <t>4. Valor del metro cuadrado (M²) por tiempo minimo de alquiler.</t>
  </si>
  <si>
    <t>Camión C-300 = $ 300.000</t>
  </si>
  <si>
    <t>Camión C-600 = $ 400.000</t>
  </si>
  <si>
    <t xml:space="preserve">           ♦ Tres (3) meses o mas: $ 1.000 pesos M² el día.</t>
  </si>
  <si>
    <t xml:space="preserve">           ♦ Dos (2)meses: $ 1.100 pesos M² el día.</t>
  </si>
  <si>
    <t xml:space="preserve">           ♦ Un (1) mes:  $ 1.200 pesos M² el día.</t>
  </si>
  <si>
    <r>
      <t xml:space="preserve">1. Valor por m2 (área de contacto) = </t>
    </r>
    <r>
      <rPr>
        <b/>
        <sz val="11"/>
        <color theme="1"/>
        <rFont val="Calibri"/>
        <family val="2"/>
      </rPr>
      <t xml:space="preserve">$ 1.000 </t>
    </r>
    <r>
      <rPr>
        <sz val="11"/>
        <color theme="1"/>
        <rFont val="Calibri"/>
        <family val="2"/>
      </rPr>
      <t>más IVA</t>
    </r>
    <r>
      <rPr>
        <b/>
        <sz val="11"/>
        <color theme="1"/>
        <rFont val="Calibri"/>
        <family val="2"/>
      </rPr>
      <t>_Alquiler</t>
    </r>
    <r>
      <rPr>
        <sz val="11"/>
        <color theme="1"/>
        <rFont val="Calibri"/>
        <family val="2"/>
      </rPr>
      <t xml:space="preserve">  </t>
    </r>
    <r>
      <rPr>
        <i/>
        <sz val="11"/>
        <color theme="1"/>
        <rFont val="Calibri"/>
        <family val="2"/>
      </rPr>
      <t>(Incluye todos los accesorios necesarios para el armado)</t>
    </r>
  </si>
  <si>
    <t>5. Alquiler de formaleta NUEVA  $2.000 pesos M² día, tiempo minimo de alquiler es de tres (3) meses.</t>
  </si>
  <si>
    <t xml:space="preserve">soporte@gyhbogota.com </t>
  </si>
  <si>
    <t>*** Para consorcios se debe anexar los mismos documentos de los consorciados</t>
  </si>
  <si>
    <t>6. Estados Financieros ultimo año</t>
  </si>
  <si>
    <t xml:space="preserve">7.Declaracion de renta </t>
  </si>
  <si>
    <t xml:space="preserve">Bogotá,  </t>
  </si>
  <si>
    <t>N° COTIZACION : 0000</t>
  </si>
  <si>
    <t>De acuerdo a su amable solicitud, le presentamos la propuesta para el alquiler de equipos especializados para la industria de la construcción</t>
  </si>
  <si>
    <t>9. Certificado de libertad de algún bien inmueble a nombre del representante legal o de la empresa que no esté en patrimonio familiar.</t>
  </si>
  <si>
    <t>8.Formato unico para registro de clientes y autorizacion de consulta centrales de riesgo listas restrictivas.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</si>
</sst>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&quot;$&quot;\ * #,##0.00_);_(&quot;$&quot;\ * \(#,##0.00\);_(&quot;$&quot;\ * &quot;-&quot;??_);_(@_)"/>
    <numFmt numFmtId="165" formatCode="_ * #,##0_ ;_ * \-#,##0_ ;_ * &quot;-&quot;_ ;_ @_ "/>
    <numFmt numFmtId="166" formatCode="0.000"/>
    <numFmt numFmtId="167" formatCode="0.0"/>
    <numFmt numFmtId="168" formatCode="[$$-240A]\ #,##0"/>
    <numFmt numFmtId="169" formatCode="_ [$€-2]\ * #,##0.00_ ;_ [$€-2]\ * \-#,##0.00_ ;_ [$€-2]\ * &quot;-&quot;??_ "/>
    <numFmt numFmtId="170" formatCode="&quot;$&quot;\ #,##0"/>
    <numFmt numFmtId="171" formatCode="_(&quot;$&quot;\ * #,##0_);_(&quot;$&quot;\ * \(#,##0\);_(&quot;$&quot;\ * &quot;-&quot;??_);_(@_)"/>
    <numFmt numFmtId="172" formatCode="[$-240A]d&quot; de &quot;mmmm&quot; de &quot;yyyy;@"/>
  </numFmts>
  <fonts count="3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ndar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b/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</font>
    <font>
      <b/>
      <i/>
      <sz val="1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b/>
      <sz val="10"/>
      <color indexed="6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u/>
      <sz val="11"/>
      <color theme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0"/>
      <name val="Calibri"/>
      <family val="2"/>
      <scheme val="minor"/>
    </font>
    <font>
      <b/>
      <u/>
      <sz val="11"/>
      <color theme="1"/>
      <name val="Calibr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25" fillId="0" borderId="0" applyNumberFormat="0" applyFill="0" applyBorder="0" applyAlignment="0" applyProtection="0">
      <alignment vertical="top"/>
      <protection locked="0"/>
    </xf>
    <xf numFmtId="164" fontId="29" fillId="0" borderId="0" applyFont="0" applyFill="0" applyBorder="0" applyAlignment="0" applyProtection="0"/>
  </cellStyleXfs>
  <cellXfs count="164">
    <xf numFmtId="0" fontId="0" fillId="0" borderId="0" xfId="0"/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 shrinkToFit="1"/>
    </xf>
    <xf numFmtId="0" fontId="5" fillId="0" borderId="0" xfId="0" applyFont="1" applyAlignment="1">
      <alignment horizontal="center" vertical="center" wrapText="1" shrinkToFit="1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2" fontId="7" fillId="0" borderId="1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9" fillId="0" borderId="0" xfId="0" applyFont="1"/>
    <xf numFmtId="0" fontId="9" fillId="0" borderId="0" xfId="0" applyFont="1" applyAlignment="1">
      <alignment vertical="center"/>
    </xf>
    <xf numFmtId="168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/>
    <xf numFmtId="0" fontId="15" fillId="0" borderId="0" xfId="0" applyFont="1" applyAlignment="1">
      <alignment horizontal="center" vertical="center" wrapText="1" shrinkToFit="1"/>
    </xf>
    <xf numFmtId="0" fontId="12" fillId="0" borderId="0" xfId="0" applyFont="1" applyAlignment="1">
      <alignment horizontal="center" vertical="center" wrapText="1" shrinkToFit="1"/>
    </xf>
    <xf numFmtId="0" fontId="15" fillId="5" borderId="0" xfId="0" applyFont="1" applyFill="1" applyAlignment="1">
      <alignment horizontal="center" vertical="center" wrapText="1" shrinkToFit="1"/>
    </xf>
    <xf numFmtId="0" fontId="10" fillId="0" borderId="0" xfId="0" applyFont="1" applyAlignment="1">
      <alignment vertical="center"/>
    </xf>
    <xf numFmtId="0" fontId="11" fillId="2" borderId="0" xfId="0" applyFont="1" applyFill="1" applyAlignment="1">
      <alignment vertic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167" fontId="2" fillId="0" borderId="5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67" fontId="2" fillId="0" borderId="11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8" fontId="0" fillId="0" borderId="1" xfId="0" applyNumberFormat="1" applyBorder="1" applyAlignment="1">
      <alignment horizontal="center" vertical="center"/>
    </xf>
    <xf numFmtId="168" fontId="7" fillId="7" borderId="1" xfId="0" applyNumberFormat="1" applyFont="1" applyFill="1" applyBorder="1" applyAlignment="1">
      <alignment horizontal="center"/>
    </xf>
    <xf numFmtId="168" fontId="19" fillId="6" borderId="1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0" borderId="0" xfId="0" applyFont="1"/>
    <xf numFmtId="0" fontId="2" fillId="0" borderId="0" xfId="0" applyFont="1" applyAlignment="1">
      <alignment horizontal="center"/>
    </xf>
    <xf numFmtId="168" fontId="19" fillId="0" borderId="0" xfId="0" applyNumberFormat="1" applyFont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166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0" fontId="14" fillId="0" borderId="0" xfId="0" applyFont="1" applyAlignment="1">
      <alignment vertical="top" wrapText="1"/>
    </xf>
    <xf numFmtId="0" fontId="14" fillId="0" borderId="0" xfId="0" applyFont="1" applyAlignment="1">
      <alignment horizontal="left" vertical="top" wrapText="1"/>
    </xf>
    <xf numFmtId="0" fontId="20" fillId="0" borderId="4" xfId="0" applyFont="1" applyBorder="1" applyAlignment="1">
      <alignment horizontal="left" vertical="center"/>
    </xf>
    <xf numFmtId="0" fontId="20" fillId="0" borderId="4" xfId="0" applyFont="1" applyBorder="1" applyAlignment="1">
      <alignment vertical="center"/>
    </xf>
    <xf numFmtId="0" fontId="28" fillId="0" borderId="0" xfId="0" applyFont="1"/>
    <xf numFmtId="0" fontId="20" fillId="0" borderId="0" xfId="0" applyFont="1" applyAlignment="1">
      <alignment horizontal="left" vertical="center"/>
    </xf>
    <xf numFmtId="0" fontId="14" fillId="0" borderId="4" xfId="0" applyFont="1" applyBorder="1" applyAlignment="1">
      <alignment horizontal="left" vertical="top" wrapText="1"/>
    </xf>
    <xf numFmtId="167" fontId="0" fillId="0" borderId="0" xfId="0" applyNumberFormat="1" applyAlignment="1">
      <alignment horizontal="center"/>
    </xf>
    <xf numFmtId="2" fontId="5" fillId="0" borderId="0" xfId="0" applyNumberFormat="1" applyFont="1"/>
    <xf numFmtId="1" fontId="5" fillId="0" borderId="0" xfId="0" applyNumberFormat="1" applyFont="1"/>
    <xf numFmtId="168" fontId="5" fillId="0" borderId="0" xfId="0" applyNumberFormat="1" applyFont="1"/>
    <xf numFmtId="0" fontId="5" fillId="0" borderId="1" xfId="0" applyFont="1" applyBorder="1" applyAlignment="1">
      <alignment horizontal="center" vertical="center"/>
    </xf>
    <xf numFmtId="0" fontId="18" fillId="0" borderId="4" xfId="0" applyFont="1" applyBorder="1"/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164" fontId="20" fillId="0" borderId="0" xfId="6" applyFont="1"/>
    <xf numFmtId="171" fontId="20" fillId="0" borderId="0" xfId="6" applyNumberFormat="1" applyFont="1"/>
    <xf numFmtId="0" fontId="3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25" fillId="0" borderId="0" xfId="5" applyAlignment="1" applyProtection="1"/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49" fontId="11" fillId="3" borderId="6" xfId="0" applyNumberFormat="1" applyFont="1" applyFill="1" applyBorder="1" applyAlignment="1">
      <alignment horizontal="center" vertical="center" wrapText="1"/>
    </xf>
    <xf numFmtId="49" fontId="11" fillId="3" borderId="7" xfId="0" applyNumberFormat="1" applyFont="1" applyFill="1" applyBorder="1" applyAlignment="1">
      <alignment horizontal="center" vertical="center" wrapText="1"/>
    </xf>
    <xf numFmtId="49" fontId="11" fillId="3" borderId="8" xfId="0" applyNumberFormat="1" applyFont="1" applyFill="1" applyBorder="1" applyAlignment="1">
      <alignment horizontal="center" vertical="center" wrapText="1"/>
    </xf>
    <xf numFmtId="49" fontId="11" fillId="3" borderId="9" xfId="0" applyNumberFormat="1" applyFont="1" applyFill="1" applyBorder="1" applyAlignment="1">
      <alignment horizontal="center" vertical="center" wrapText="1"/>
    </xf>
    <xf numFmtId="49" fontId="11" fillId="3" borderId="4" xfId="0" applyNumberFormat="1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>
      <alignment horizontal="center" vertical="center" wrapText="1"/>
    </xf>
    <xf numFmtId="1" fontId="9" fillId="3" borderId="1" xfId="0" applyNumberFormat="1" applyFont="1" applyFill="1" applyBorder="1" applyAlignment="1">
      <alignment horizontal="center" vertical="center" wrapText="1"/>
    </xf>
    <xf numFmtId="2" fontId="9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172" fontId="20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left" vertical="center" wrapText="1"/>
    </xf>
    <xf numFmtId="168" fontId="9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2" fontId="0" fillId="0" borderId="2" xfId="0" applyNumberFormat="1" applyBorder="1" applyAlignment="1">
      <alignment horizontal="left" vertical="center"/>
    </xf>
    <xf numFmtId="2" fontId="0" fillId="0" borderId="12" xfId="0" applyNumberFormat="1" applyBorder="1" applyAlignment="1">
      <alignment horizontal="left" vertical="center"/>
    </xf>
    <xf numFmtId="2" fontId="0" fillId="0" borderId="3" xfId="0" applyNumberFormat="1" applyBorder="1" applyAlignment="1">
      <alignment horizontal="left" vertical="center"/>
    </xf>
    <xf numFmtId="0" fontId="24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2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70" fontId="5" fillId="0" borderId="1" xfId="0" applyNumberFormat="1" applyFont="1" applyBorder="1" applyAlignment="1">
      <alignment horizontal="center" vertical="center"/>
    </xf>
    <xf numFmtId="170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9" fontId="2" fillId="0" borderId="2" xfId="0" applyNumberFormat="1" applyFont="1" applyBorder="1" applyAlignment="1">
      <alignment horizontal="center" vertical="center"/>
    </xf>
    <xf numFmtId="9" fontId="2" fillId="0" borderId="3" xfId="0" applyNumberFormat="1" applyFont="1" applyBorder="1" applyAlignment="1">
      <alignment horizontal="center" vertical="center"/>
    </xf>
    <xf numFmtId="168" fontId="0" fillId="0" borderId="2" xfId="0" applyNumberFormat="1" applyBorder="1" applyAlignment="1">
      <alignment horizontal="center" vertical="center"/>
    </xf>
    <xf numFmtId="168" fontId="0" fillId="0" borderId="3" xfId="0" applyNumberFormat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168" fontId="2" fillId="6" borderId="2" xfId="0" applyNumberFormat="1" applyFont="1" applyFill="1" applyBorder="1" applyAlignment="1">
      <alignment horizontal="center" vertical="center"/>
    </xf>
    <xf numFmtId="168" fontId="2" fillId="6" borderId="3" xfId="0" applyNumberFormat="1" applyFont="1" applyFill="1" applyBorder="1" applyAlignment="1">
      <alignment horizontal="center" vertical="center"/>
    </xf>
    <xf numFmtId="2" fontId="9" fillId="3" borderId="6" xfId="0" applyNumberFormat="1" applyFont="1" applyFill="1" applyBorder="1" applyAlignment="1">
      <alignment horizontal="center" vertical="center" wrapText="1"/>
    </xf>
    <xf numFmtId="2" fontId="9" fillId="3" borderId="8" xfId="0" applyNumberFormat="1" applyFont="1" applyFill="1" applyBorder="1" applyAlignment="1">
      <alignment horizontal="center" vertical="center" wrapText="1"/>
    </xf>
    <xf numFmtId="2" fontId="9" fillId="3" borderId="9" xfId="0" applyNumberFormat="1" applyFont="1" applyFill="1" applyBorder="1" applyAlignment="1">
      <alignment horizontal="center" vertical="center" wrapText="1"/>
    </xf>
    <xf numFmtId="2" fontId="9" fillId="3" borderId="10" xfId="0" applyNumberFormat="1" applyFont="1" applyFill="1" applyBorder="1" applyAlignment="1">
      <alignment horizontal="center" vertical="center" wrapText="1"/>
    </xf>
    <xf numFmtId="170" fontId="5" fillId="3" borderId="6" xfId="0" applyNumberFormat="1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7">
    <cellStyle name="Euro" xfId="3" xr:uid="{00000000-0005-0000-0000-000000000000}"/>
    <cellStyle name="Hipervínculo" xfId="5" builtinId="8"/>
    <cellStyle name="Millares [0] 2" xfId="2" xr:uid="{00000000-0005-0000-0000-000002000000}"/>
    <cellStyle name="Moneda" xfId="6" builtinId="4"/>
    <cellStyle name="Normal" xfId="0" builtinId="0"/>
    <cellStyle name="Normal 2" xfId="1" xr:uid="{00000000-0005-0000-0000-000005000000}"/>
    <cellStyle name="Normal 2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9525</xdr:rowOff>
    </xdr:from>
    <xdr:to>
      <xdr:col>7</xdr:col>
      <xdr:colOff>885825</xdr:colOff>
      <xdr:row>8</xdr:row>
      <xdr:rowOff>163521</xdr:rowOff>
    </xdr:to>
    <xdr:pic>
      <xdr:nvPicPr>
        <xdr:cNvPr id="2" name="Picture 15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876300" y="200025"/>
          <a:ext cx="5629275" cy="148749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 fPrintsWithSheet="0"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oporte@gyhbogota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4"/>
  <sheetViews>
    <sheetView tabSelected="1" zoomScaleNormal="100" zoomScaleSheetLayoutView="55" zoomScalePageLayoutView="40" workbookViewId="0">
      <selection activeCell="G11" sqref="G11"/>
    </sheetView>
  </sheetViews>
  <sheetFormatPr baseColWidth="10" defaultRowHeight="15" x14ac:dyDescent="0.25"/>
  <cols>
    <col min="1" max="1" width="12.42578125" customWidth="1"/>
    <col min="2" max="2" width="13.140625" customWidth="1"/>
    <col min="3" max="3" width="14.85546875" customWidth="1"/>
    <col min="4" max="4" width="10.5703125" customWidth="1"/>
    <col min="5" max="5" width="10.28515625" customWidth="1"/>
    <col min="6" max="6" width="8.5703125" customWidth="1"/>
    <col min="7" max="7" width="7.5703125" customWidth="1"/>
    <col min="8" max="8" width="9.28515625" bestFit="1" customWidth="1"/>
    <col min="9" max="9" width="10.140625" customWidth="1"/>
    <col min="10" max="10" width="10.7109375" customWidth="1"/>
    <col min="11" max="11" width="14.5703125" bestFit="1" customWidth="1"/>
    <col min="12" max="12" width="17.85546875" customWidth="1"/>
  </cols>
  <sheetData>
    <row r="1" spans="2:12" x14ac:dyDescent="0.25"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2:12" x14ac:dyDescent="0.25">
      <c r="B2" s="52"/>
      <c r="C2" s="52"/>
      <c r="D2" s="52"/>
      <c r="E2" s="52"/>
      <c r="F2" s="52"/>
      <c r="G2" s="52"/>
      <c r="H2" s="52" t="s">
        <v>219</v>
      </c>
      <c r="I2" s="112">
        <f ca="1">NOW()</f>
        <v>46190.571573032408</v>
      </c>
      <c r="J2" s="112"/>
      <c r="K2" s="112"/>
      <c r="L2" s="52"/>
    </row>
    <row r="3" spans="2:12" x14ac:dyDescent="0.25">
      <c r="B3" s="53"/>
      <c r="C3" s="53"/>
      <c r="D3" s="53"/>
      <c r="E3" s="53"/>
      <c r="F3" s="53"/>
      <c r="G3" s="53"/>
      <c r="H3" s="53"/>
      <c r="I3" s="52"/>
      <c r="J3" s="54" t="s">
        <v>220</v>
      </c>
      <c r="K3" s="54"/>
      <c r="L3" s="54"/>
    </row>
    <row r="4" spans="2:12" x14ac:dyDescent="0.25">
      <c r="B4" s="74" t="s">
        <v>150</v>
      </c>
      <c r="C4" s="52"/>
      <c r="D4" s="52"/>
      <c r="E4" s="52"/>
      <c r="F4" s="52"/>
      <c r="G4" s="52"/>
      <c r="H4" s="52"/>
      <c r="I4" s="52"/>
      <c r="J4" s="52"/>
      <c r="K4" s="54"/>
      <c r="L4" s="54"/>
    </row>
    <row r="5" spans="2:12" x14ac:dyDescent="0.25">
      <c r="B5" s="74" t="s">
        <v>181</v>
      </c>
      <c r="C5" s="74"/>
      <c r="D5" s="53"/>
      <c r="E5" s="53"/>
      <c r="F5" s="53"/>
      <c r="G5" s="53"/>
      <c r="H5" s="53"/>
      <c r="I5" s="53"/>
      <c r="J5" s="53"/>
      <c r="K5" s="53"/>
      <c r="L5" s="53"/>
    </row>
    <row r="6" spans="2:12" x14ac:dyDescent="0.25">
      <c r="B6" s="74" t="s">
        <v>182</v>
      </c>
      <c r="C6" s="74"/>
      <c r="D6" s="52"/>
      <c r="E6" s="52"/>
      <c r="F6" s="52"/>
      <c r="G6" s="52"/>
      <c r="H6" s="52"/>
      <c r="I6" s="52"/>
      <c r="J6" s="52"/>
      <c r="K6" s="54"/>
      <c r="L6" s="85"/>
    </row>
    <row r="7" spans="2:12" x14ac:dyDescent="0.25">
      <c r="B7" s="74" t="s">
        <v>183</v>
      </c>
      <c r="C7" s="74"/>
      <c r="D7" s="53"/>
      <c r="E7" s="53"/>
      <c r="F7" s="53"/>
      <c r="G7" s="53"/>
      <c r="H7" s="53"/>
      <c r="I7" s="53"/>
      <c r="J7" s="53"/>
      <c r="K7" s="53"/>
      <c r="L7" s="53"/>
    </row>
    <row r="8" spans="2:12" x14ac:dyDescent="0.25">
      <c r="B8" s="74" t="s">
        <v>184</v>
      </c>
      <c r="C8" s="74"/>
      <c r="D8" s="52"/>
      <c r="E8" s="52"/>
      <c r="F8" s="52"/>
      <c r="G8" s="52"/>
      <c r="H8" s="52"/>
      <c r="I8" s="52"/>
      <c r="J8" s="52"/>
      <c r="K8" s="84"/>
      <c r="L8" s="54"/>
    </row>
    <row r="9" spans="2:12" x14ac:dyDescent="0.25"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</row>
    <row r="10" spans="2:12" x14ac:dyDescent="0.25">
      <c r="B10" s="52" t="s">
        <v>187</v>
      </c>
      <c r="C10" s="71"/>
      <c r="D10" s="72"/>
      <c r="E10" s="72"/>
      <c r="F10" s="72"/>
      <c r="G10" s="72"/>
      <c r="H10" s="72"/>
      <c r="I10" s="72"/>
      <c r="J10" s="52"/>
      <c r="K10" s="54"/>
      <c r="L10" s="54"/>
    </row>
    <row r="11" spans="2:12" x14ac:dyDescent="0.25">
      <c r="B11" s="52"/>
      <c r="C11" s="52"/>
      <c r="D11" s="52"/>
      <c r="E11" s="52"/>
      <c r="F11" s="52"/>
      <c r="G11" s="52"/>
      <c r="H11" s="52"/>
      <c r="I11" s="52"/>
      <c r="J11" s="52"/>
      <c r="K11" s="84"/>
      <c r="L11" s="85"/>
    </row>
    <row r="12" spans="2:12" x14ac:dyDescent="0.25">
      <c r="B12" s="52" t="s">
        <v>221</v>
      </c>
      <c r="C12" s="52"/>
      <c r="D12" s="52"/>
      <c r="E12" s="52"/>
      <c r="F12" s="52"/>
      <c r="G12" s="52"/>
      <c r="H12" s="52"/>
      <c r="I12" s="52"/>
      <c r="J12" s="52"/>
      <c r="K12" s="54"/>
      <c r="L12" s="54"/>
    </row>
    <row r="13" spans="2:12" x14ac:dyDescent="0.25">
      <c r="B13" s="52"/>
      <c r="C13" s="52"/>
      <c r="D13" s="52"/>
      <c r="E13" s="52"/>
      <c r="F13" s="52"/>
      <c r="G13" s="52"/>
      <c r="H13" s="52"/>
      <c r="I13" s="52"/>
      <c r="J13" s="52"/>
      <c r="K13" s="54"/>
      <c r="L13" s="54"/>
    </row>
    <row r="14" spans="2:12" x14ac:dyDescent="0.25">
      <c r="B14" s="74" t="s">
        <v>133</v>
      </c>
      <c r="C14" s="74"/>
      <c r="D14" s="74" t="s">
        <v>179</v>
      </c>
      <c r="E14" s="74"/>
      <c r="G14" s="53"/>
      <c r="H14" s="53"/>
      <c r="I14" s="53"/>
      <c r="J14" s="53"/>
      <c r="K14" s="53"/>
      <c r="L14" s="53"/>
    </row>
    <row r="15" spans="2:12" x14ac:dyDescent="0.25">
      <c r="B15" s="74" t="s">
        <v>204</v>
      </c>
      <c r="C15" s="52"/>
      <c r="D15" s="74" t="s">
        <v>213</v>
      </c>
      <c r="E15" s="74"/>
      <c r="G15" s="52"/>
      <c r="H15" s="52"/>
      <c r="I15" s="52"/>
      <c r="J15" s="52"/>
      <c r="K15" s="54"/>
      <c r="L15" s="54"/>
    </row>
    <row r="16" spans="2:12" x14ac:dyDescent="0.25">
      <c r="B16" s="52"/>
      <c r="C16" s="52"/>
      <c r="D16" s="74" t="s">
        <v>205</v>
      </c>
      <c r="E16" s="74"/>
      <c r="G16" s="52"/>
      <c r="H16" s="52"/>
      <c r="I16" s="52"/>
      <c r="J16" s="52"/>
      <c r="K16" s="54"/>
      <c r="L16" s="54"/>
    </row>
    <row r="17" spans="1:13" x14ac:dyDescent="0.25">
      <c r="B17" s="52"/>
      <c r="C17" s="52"/>
      <c r="D17" s="74" t="s">
        <v>206</v>
      </c>
      <c r="E17" s="74"/>
      <c r="G17" s="52"/>
      <c r="H17" s="52"/>
      <c r="I17" s="52"/>
      <c r="J17" s="52"/>
      <c r="K17" s="54"/>
      <c r="L17" s="54"/>
    </row>
    <row r="18" spans="1:13" x14ac:dyDescent="0.25">
      <c r="B18" s="74"/>
      <c r="C18" s="74"/>
      <c r="D18" s="74" t="s">
        <v>207</v>
      </c>
      <c r="E18" s="74"/>
      <c r="G18" s="52"/>
      <c r="H18" s="52"/>
      <c r="I18" s="52"/>
      <c r="J18" s="52"/>
      <c r="K18" s="54"/>
      <c r="L18" s="54"/>
    </row>
    <row r="19" spans="1:13" x14ac:dyDescent="0.25">
      <c r="B19" s="74"/>
      <c r="C19" s="74"/>
      <c r="D19" s="74" t="s">
        <v>212</v>
      </c>
      <c r="E19" s="74"/>
      <c r="G19" s="52"/>
      <c r="H19" s="52"/>
      <c r="I19" s="52"/>
      <c r="J19" s="52"/>
      <c r="K19" s="54"/>
      <c r="L19" s="54"/>
    </row>
    <row r="20" spans="1:13" x14ac:dyDescent="0.25">
      <c r="B20" s="74"/>
      <c r="C20" s="74"/>
      <c r="D20" s="74" t="s">
        <v>211</v>
      </c>
      <c r="E20" s="74"/>
      <c r="G20" s="52"/>
      <c r="H20" s="52"/>
      <c r="I20" s="52"/>
      <c r="J20" s="52"/>
      <c r="K20" s="54"/>
      <c r="L20" s="54"/>
    </row>
    <row r="21" spans="1:13" x14ac:dyDescent="0.25">
      <c r="B21" s="74"/>
      <c r="C21" s="74"/>
      <c r="D21" s="74" t="s">
        <v>210</v>
      </c>
      <c r="E21" s="74"/>
      <c r="G21" s="52"/>
      <c r="H21" s="52"/>
      <c r="I21" s="52"/>
      <c r="J21" s="52"/>
      <c r="K21" s="54"/>
      <c r="L21" s="54"/>
    </row>
    <row r="22" spans="1:13" x14ac:dyDescent="0.25">
      <c r="B22" s="74"/>
      <c r="C22" s="74"/>
      <c r="D22" s="74" t="s">
        <v>214</v>
      </c>
      <c r="E22" s="74"/>
      <c r="G22" s="52"/>
      <c r="H22" s="52"/>
      <c r="I22" s="52"/>
      <c r="J22" s="52"/>
      <c r="K22" s="54"/>
      <c r="L22" s="54"/>
    </row>
    <row r="23" spans="1:13" x14ac:dyDescent="0.25">
      <c r="B23" s="74"/>
      <c r="C23" s="74"/>
      <c r="D23" s="86" t="s">
        <v>185</v>
      </c>
      <c r="E23" s="74"/>
      <c r="G23" s="52"/>
      <c r="H23" s="52"/>
      <c r="I23" s="52"/>
      <c r="J23" s="52"/>
      <c r="K23" s="54"/>
      <c r="L23" s="54"/>
    </row>
    <row r="24" spans="1:13" x14ac:dyDescent="0.25">
      <c r="B24" s="2"/>
      <c r="C24" s="2"/>
      <c r="D24" s="2"/>
      <c r="E24" s="2"/>
      <c r="F24" s="2"/>
      <c r="G24" s="2"/>
      <c r="H24" s="2"/>
      <c r="I24" s="2"/>
      <c r="J24" s="2"/>
    </row>
    <row r="25" spans="1:13" x14ac:dyDescent="0.25">
      <c r="B25" s="91" t="s">
        <v>131</v>
      </c>
      <c r="C25" s="92"/>
      <c r="D25" s="92"/>
      <c r="E25" s="92"/>
      <c r="F25" s="92"/>
      <c r="G25" s="92"/>
      <c r="H25" s="92"/>
      <c r="I25" s="92"/>
      <c r="J25" s="92"/>
      <c r="K25" s="92"/>
      <c r="L25" s="93"/>
    </row>
    <row r="26" spans="1:13" x14ac:dyDescent="0.25">
      <c r="B26" s="94"/>
      <c r="C26" s="95"/>
      <c r="D26" s="95"/>
      <c r="E26" s="95"/>
      <c r="F26" s="95"/>
      <c r="G26" s="95"/>
      <c r="H26" s="95"/>
      <c r="I26" s="95"/>
      <c r="J26" s="95"/>
      <c r="K26" s="95"/>
      <c r="L26" s="96"/>
    </row>
    <row r="27" spans="1:13" ht="24" x14ac:dyDescent="0.25">
      <c r="B27" s="97" t="s">
        <v>0</v>
      </c>
      <c r="C27" s="97"/>
      <c r="D27" s="97"/>
      <c r="E27" s="97"/>
      <c r="F27" s="26" t="s">
        <v>132</v>
      </c>
      <c r="G27" s="27" t="s">
        <v>116</v>
      </c>
      <c r="H27" s="28" t="s">
        <v>1</v>
      </c>
      <c r="I27" s="28" t="s">
        <v>118</v>
      </c>
      <c r="J27" s="26" t="s">
        <v>117</v>
      </c>
      <c r="K27" s="26" t="s">
        <v>201</v>
      </c>
      <c r="L27" s="26" t="s">
        <v>202</v>
      </c>
    </row>
    <row r="28" spans="1:13" x14ac:dyDescent="0.25">
      <c r="A28" s="32" t="s">
        <v>120</v>
      </c>
      <c r="B28" s="48" t="s">
        <v>119</v>
      </c>
      <c r="C28" s="8">
        <v>0.2</v>
      </c>
      <c r="D28" s="8">
        <v>0.15</v>
      </c>
      <c r="E28" s="5">
        <v>1.2</v>
      </c>
      <c r="F28" s="10">
        <f>($C28+$D28)*$E28</f>
        <v>0.42</v>
      </c>
      <c r="G28" s="47">
        <v>19.833333333333332</v>
      </c>
      <c r="H28" s="5"/>
      <c r="I28" s="8">
        <f>$F28*$H28</f>
        <v>0</v>
      </c>
      <c r="J28" s="57">
        <f>$G28*$H28</f>
        <v>0</v>
      </c>
      <c r="K28" s="20">
        <v>1000</v>
      </c>
      <c r="L28" s="50">
        <f t="shared" ref="L28:L59" si="0">$F28*$H28*$K28</f>
        <v>0</v>
      </c>
      <c r="M28" s="76"/>
    </row>
    <row r="29" spans="1:13" x14ac:dyDescent="0.25">
      <c r="A29" s="32" t="s">
        <v>120</v>
      </c>
      <c r="B29" s="48" t="s">
        <v>119</v>
      </c>
      <c r="C29" s="8">
        <v>0.15</v>
      </c>
      <c r="D29" s="8">
        <v>0.15</v>
      </c>
      <c r="E29" s="5">
        <v>1.2</v>
      </c>
      <c r="F29" s="10">
        <f>($C29+$D29)*$E29</f>
        <v>0.36</v>
      </c>
      <c r="G29" s="47">
        <v>17</v>
      </c>
      <c r="H29" s="5">
        <v>0</v>
      </c>
      <c r="I29" s="8">
        <f>$F29*$H29</f>
        <v>0</v>
      </c>
      <c r="J29" s="57">
        <f>$G29*$H29</f>
        <v>0</v>
      </c>
      <c r="K29" s="20">
        <v>1000</v>
      </c>
      <c r="L29" s="50">
        <f t="shared" si="0"/>
        <v>0</v>
      </c>
      <c r="M29" s="76"/>
    </row>
    <row r="30" spans="1:13" x14ac:dyDescent="0.25">
      <c r="A30" s="32" t="s">
        <v>120</v>
      </c>
      <c r="B30" s="48" t="s">
        <v>119</v>
      </c>
      <c r="C30" s="8">
        <v>0.1</v>
      </c>
      <c r="D30" s="8">
        <v>0.1</v>
      </c>
      <c r="E30" s="5">
        <v>1.2</v>
      </c>
      <c r="F30" s="10">
        <f>($C30+$D30)*$E30</f>
        <v>0.24</v>
      </c>
      <c r="G30" s="47">
        <v>11.333333333333334</v>
      </c>
      <c r="H30" s="5">
        <v>0</v>
      </c>
      <c r="I30" s="8">
        <f>$F30*$H30</f>
        <v>0</v>
      </c>
      <c r="J30" s="57">
        <f>$G30*$H30</f>
        <v>0</v>
      </c>
      <c r="K30" s="20">
        <v>1000</v>
      </c>
      <c r="L30" s="50">
        <f t="shared" si="0"/>
        <v>0</v>
      </c>
      <c r="M30" s="76"/>
    </row>
    <row r="31" spans="1:13" x14ac:dyDescent="0.25">
      <c r="A31" s="32" t="s">
        <v>120</v>
      </c>
      <c r="B31" s="48" t="s">
        <v>119</v>
      </c>
      <c r="C31" s="8">
        <v>0.1</v>
      </c>
      <c r="D31" s="8">
        <v>0.1</v>
      </c>
      <c r="E31" s="5">
        <v>2.4</v>
      </c>
      <c r="F31" s="10">
        <f>($C31+$D31)*$E31</f>
        <v>0.48</v>
      </c>
      <c r="G31" s="47">
        <v>22.666666666666668</v>
      </c>
      <c r="H31" s="5">
        <v>0</v>
      </c>
      <c r="I31" s="8">
        <f>$F31*$H31</f>
        <v>0</v>
      </c>
      <c r="J31" s="57">
        <f>$G31*$H31</f>
        <v>0</v>
      </c>
      <c r="K31" s="20">
        <v>1000</v>
      </c>
      <c r="L31" s="50">
        <f t="shared" si="0"/>
        <v>0</v>
      </c>
      <c r="M31" s="76"/>
    </row>
    <row r="32" spans="1:13" x14ac:dyDescent="0.25">
      <c r="A32" s="34" t="s">
        <v>4</v>
      </c>
      <c r="B32" s="89" t="s">
        <v>3</v>
      </c>
      <c r="C32" s="90"/>
      <c r="D32" s="9">
        <v>0.6</v>
      </c>
      <c r="E32" s="5">
        <v>1.2</v>
      </c>
      <c r="F32" s="10">
        <f>$D32*$E32</f>
        <v>0.72</v>
      </c>
      <c r="G32" s="47">
        <v>34</v>
      </c>
      <c r="H32" s="5">
        <v>0</v>
      </c>
      <c r="I32" s="8">
        <f>$F32*$H32</f>
        <v>0</v>
      </c>
      <c r="J32" s="57">
        <f>$G32*$H32</f>
        <v>0</v>
      </c>
      <c r="K32" s="20">
        <v>1000</v>
      </c>
      <c r="L32" s="50">
        <f t="shared" si="0"/>
        <v>0</v>
      </c>
      <c r="M32" s="76"/>
    </row>
    <row r="33" spans="1:13" x14ac:dyDescent="0.25">
      <c r="A33" s="33" t="s">
        <v>5</v>
      </c>
      <c r="B33" s="89" t="s">
        <v>3</v>
      </c>
      <c r="C33" s="90"/>
      <c r="D33" s="9">
        <v>0.59499999999999997</v>
      </c>
      <c r="E33" s="5">
        <v>1.2</v>
      </c>
      <c r="F33" s="10">
        <f t="shared" ref="F33:F96" si="1">$D33*$E33</f>
        <v>0.71399999999999997</v>
      </c>
      <c r="G33" s="21">
        <v>33.716666666666669</v>
      </c>
      <c r="H33" s="5">
        <v>0</v>
      </c>
      <c r="I33" s="8">
        <f t="shared" ref="I33:I96" si="2">$F33*$H33</f>
        <v>0</v>
      </c>
      <c r="J33" s="57">
        <f t="shared" ref="J33:J96" si="3">$G33*$H33</f>
        <v>0</v>
      </c>
      <c r="K33" s="20">
        <v>1000</v>
      </c>
      <c r="L33" s="50">
        <f t="shared" si="0"/>
        <v>0</v>
      </c>
      <c r="M33" s="76"/>
    </row>
    <row r="34" spans="1:13" x14ac:dyDescent="0.25">
      <c r="A34" s="33" t="s">
        <v>6</v>
      </c>
      <c r="B34" s="89" t="s">
        <v>3</v>
      </c>
      <c r="C34" s="90"/>
      <c r="D34" s="9">
        <v>0.59</v>
      </c>
      <c r="E34" s="5">
        <v>1.2</v>
      </c>
      <c r="F34" s="10">
        <f t="shared" si="1"/>
        <v>0.70799999999999996</v>
      </c>
      <c r="G34" s="21">
        <v>33.433333333333337</v>
      </c>
      <c r="H34" s="5">
        <v>0</v>
      </c>
      <c r="I34" s="8">
        <f t="shared" si="2"/>
        <v>0</v>
      </c>
      <c r="J34" s="57">
        <f t="shared" si="3"/>
        <v>0</v>
      </c>
      <c r="K34" s="20">
        <v>1000</v>
      </c>
      <c r="L34" s="50">
        <f t="shared" si="0"/>
        <v>0</v>
      </c>
      <c r="M34" s="76"/>
    </row>
    <row r="35" spans="1:13" x14ac:dyDescent="0.25">
      <c r="A35" s="33" t="s">
        <v>7</v>
      </c>
      <c r="B35" s="89" t="s">
        <v>3</v>
      </c>
      <c r="C35" s="90"/>
      <c r="D35" s="9">
        <v>0.58499999999999996</v>
      </c>
      <c r="E35" s="5">
        <v>1.2</v>
      </c>
      <c r="F35" s="10">
        <f t="shared" si="1"/>
        <v>0.70199999999999996</v>
      </c>
      <c r="G35" s="21">
        <v>33.150000000000006</v>
      </c>
      <c r="H35" s="5">
        <v>0</v>
      </c>
      <c r="I35" s="8">
        <f t="shared" si="2"/>
        <v>0</v>
      </c>
      <c r="J35" s="57">
        <f t="shared" si="3"/>
        <v>0</v>
      </c>
      <c r="K35" s="20">
        <v>1000</v>
      </c>
      <c r="L35" s="50">
        <f t="shared" si="0"/>
        <v>0</v>
      </c>
      <c r="M35" s="76"/>
    </row>
    <row r="36" spans="1:13" x14ac:dyDescent="0.25">
      <c r="A36" s="33" t="s">
        <v>8</v>
      </c>
      <c r="B36" s="89" t="s">
        <v>3</v>
      </c>
      <c r="C36" s="90"/>
      <c r="D36" s="9">
        <v>0.57999999999999996</v>
      </c>
      <c r="E36" s="5">
        <v>1.2</v>
      </c>
      <c r="F36" s="10">
        <f t="shared" si="1"/>
        <v>0.69599999999999995</v>
      </c>
      <c r="G36" s="21">
        <v>32.866666666666674</v>
      </c>
      <c r="H36" s="5">
        <v>0</v>
      </c>
      <c r="I36" s="8">
        <f t="shared" si="2"/>
        <v>0</v>
      </c>
      <c r="J36" s="57">
        <f t="shared" si="3"/>
        <v>0</v>
      </c>
      <c r="K36" s="20">
        <v>1000</v>
      </c>
      <c r="L36" s="50">
        <f t="shared" si="0"/>
        <v>0</v>
      </c>
      <c r="M36" s="76"/>
    </row>
    <row r="37" spans="1:13" x14ac:dyDescent="0.25">
      <c r="A37" s="34" t="s">
        <v>9</v>
      </c>
      <c r="B37" s="89" t="s">
        <v>3</v>
      </c>
      <c r="C37" s="90"/>
      <c r="D37" s="9">
        <v>0.57499999999999996</v>
      </c>
      <c r="E37" s="5">
        <v>1.2</v>
      </c>
      <c r="F37" s="10">
        <f t="shared" si="1"/>
        <v>0.69</v>
      </c>
      <c r="G37" s="21">
        <v>32.583333333333343</v>
      </c>
      <c r="H37" s="5">
        <v>0</v>
      </c>
      <c r="I37" s="8">
        <f t="shared" si="2"/>
        <v>0</v>
      </c>
      <c r="J37" s="57">
        <f t="shared" si="3"/>
        <v>0</v>
      </c>
      <c r="K37" s="20">
        <v>1000</v>
      </c>
      <c r="L37" s="50">
        <f t="shared" si="0"/>
        <v>0</v>
      </c>
      <c r="M37" s="76"/>
    </row>
    <row r="38" spans="1:13" x14ac:dyDescent="0.25">
      <c r="A38" s="33" t="s">
        <v>10</v>
      </c>
      <c r="B38" s="89" t="s">
        <v>3</v>
      </c>
      <c r="C38" s="90"/>
      <c r="D38" s="9">
        <v>0.56999999999999995</v>
      </c>
      <c r="E38" s="5">
        <v>1.2</v>
      </c>
      <c r="F38" s="10">
        <f t="shared" si="1"/>
        <v>0.68399999999999994</v>
      </c>
      <c r="G38" s="21">
        <v>32.300000000000011</v>
      </c>
      <c r="H38" s="5">
        <v>0</v>
      </c>
      <c r="I38" s="8">
        <f t="shared" si="2"/>
        <v>0</v>
      </c>
      <c r="J38" s="57">
        <f t="shared" si="3"/>
        <v>0</v>
      </c>
      <c r="K38" s="20">
        <v>1000</v>
      </c>
      <c r="L38" s="50">
        <f t="shared" si="0"/>
        <v>0</v>
      </c>
      <c r="M38" s="76"/>
    </row>
    <row r="39" spans="1:13" x14ac:dyDescent="0.25">
      <c r="A39" s="33" t="s">
        <v>11</v>
      </c>
      <c r="B39" s="89" t="s">
        <v>3</v>
      </c>
      <c r="C39" s="90"/>
      <c r="D39" s="9">
        <v>0.56499999999999995</v>
      </c>
      <c r="E39" s="5">
        <v>1.2</v>
      </c>
      <c r="F39" s="10">
        <f t="shared" si="1"/>
        <v>0.67799999999999994</v>
      </c>
      <c r="G39" s="21">
        <v>32.01666666666668</v>
      </c>
      <c r="H39" s="5">
        <v>0</v>
      </c>
      <c r="I39" s="8">
        <f t="shared" si="2"/>
        <v>0</v>
      </c>
      <c r="J39" s="57">
        <f t="shared" si="3"/>
        <v>0</v>
      </c>
      <c r="K39" s="20">
        <v>1000</v>
      </c>
      <c r="L39" s="50">
        <f t="shared" si="0"/>
        <v>0</v>
      </c>
      <c r="M39" s="76"/>
    </row>
    <row r="40" spans="1:13" x14ac:dyDescent="0.25">
      <c r="A40" s="33" t="s">
        <v>12</v>
      </c>
      <c r="B40" s="89" t="s">
        <v>3</v>
      </c>
      <c r="C40" s="90"/>
      <c r="D40" s="9">
        <v>0.56000000000000005</v>
      </c>
      <c r="E40" s="5">
        <v>1.2</v>
      </c>
      <c r="F40" s="10">
        <f t="shared" si="1"/>
        <v>0.67200000000000004</v>
      </c>
      <c r="G40" s="21">
        <v>31.733333333333352</v>
      </c>
      <c r="H40" s="5">
        <v>0</v>
      </c>
      <c r="I40" s="8">
        <f t="shared" si="2"/>
        <v>0</v>
      </c>
      <c r="J40" s="57">
        <f t="shared" si="3"/>
        <v>0</v>
      </c>
      <c r="K40" s="20">
        <v>1000</v>
      </c>
      <c r="L40" s="50">
        <f t="shared" si="0"/>
        <v>0</v>
      </c>
      <c r="M40" s="76"/>
    </row>
    <row r="41" spans="1:13" x14ac:dyDescent="0.25">
      <c r="A41" s="33" t="s">
        <v>13</v>
      </c>
      <c r="B41" s="89" t="s">
        <v>3</v>
      </c>
      <c r="C41" s="90"/>
      <c r="D41" s="9">
        <v>0.55500000000000005</v>
      </c>
      <c r="E41" s="5">
        <v>1.2</v>
      </c>
      <c r="F41" s="10">
        <f t="shared" si="1"/>
        <v>0.66600000000000004</v>
      </c>
      <c r="G41" s="21">
        <v>31.450000000000017</v>
      </c>
      <c r="H41" s="5">
        <v>0</v>
      </c>
      <c r="I41" s="8">
        <f t="shared" si="2"/>
        <v>0</v>
      </c>
      <c r="J41" s="57">
        <f t="shared" si="3"/>
        <v>0</v>
      </c>
      <c r="K41" s="20">
        <v>1000</v>
      </c>
      <c r="L41" s="50">
        <f t="shared" si="0"/>
        <v>0</v>
      </c>
      <c r="M41" s="76"/>
    </row>
    <row r="42" spans="1:13" x14ac:dyDescent="0.25">
      <c r="A42" s="34" t="s">
        <v>14</v>
      </c>
      <c r="B42" s="89" t="s">
        <v>3</v>
      </c>
      <c r="C42" s="90"/>
      <c r="D42" s="9">
        <v>0.55000000000000004</v>
      </c>
      <c r="E42" s="5">
        <v>1.2</v>
      </c>
      <c r="F42" s="10">
        <f t="shared" si="1"/>
        <v>0.66</v>
      </c>
      <c r="G42" s="21">
        <v>31.166666666666682</v>
      </c>
      <c r="H42" s="5">
        <v>0</v>
      </c>
      <c r="I42" s="8">
        <f t="shared" si="2"/>
        <v>0</v>
      </c>
      <c r="J42" s="57">
        <f t="shared" si="3"/>
        <v>0</v>
      </c>
      <c r="K42" s="20">
        <v>1000</v>
      </c>
      <c r="L42" s="50">
        <f t="shared" si="0"/>
        <v>0</v>
      </c>
      <c r="M42" s="76"/>
    </row>
    <row r="43" spans="1:13" x14ac:dyDescent="0.25">
      <c r="A43" s="33" t="s">
        <v>15</v>
      </c>
      <c r="B43" s="82" t="s">
        <v>3</v>
      </c>
      <c r="C43" s="83"/>
      <c r="D43" s="9">
        <v>0.54500000000000004</v>
      </c>
      <c r="E43" s="5">
        <v>1.2</v>
      </c>
      <c r="F43" s="10">
        <f t="shared" si="1"/>
        <v>0.65400000000000003</v>
      </c>
      <c r="G43" s="21">
        <v>30.883333333333347</v>
      </c>
      <c r="H43" s="5">
        <v>0</v>
      </c>
      <c r="I43" s="8">
        <f t="shared" si="2"/>
        <v>0</v>
      </c>
      <c r="J43" s="57">
        <f t="shared" si="3"/>
        <v>0</v>
      </c>
      <c r="K43" s="20">
        <v>1000</v>
      </c>
      <c r="L43" s="50">
        <f t="shared" si="0"/>
        <v>0</v>
      </c>
      <c r="M43" s="76"/>
    </row>
    <row r="44" spans="1:13" x14ac:dyDescent="0.25">
      <c r="A44" s="33" t="s">
        <v>16</v>
      </c>
      <c r="B44" s="82" t="s">
        <v>3</v>
      </c>
      <c r="C44" s="83"/>
      <c r="D44" s="9">
        <v>0.54</v>
      </c>
      <c r="E44" s="5">
        <v>1.2</v>
      </c>
      <c r="F44" s="10">
        <f t="shared" si="1"/>
        <v>0.64800000000000002</v>
      </c>
      <c r="G44" s="21">
        <v>30.600000000000016</v>
      </c>
      <c r="H44" s="5">
        <v>0</v>
      </c>
      <c r="I44" s="8">
        <f t="shared" si="2"/>
        <v>0</v>
      </c>
      <c r="J44" s="57">
        <f t="shared" si="3"/>
        <v>0</v>
      </c>
      <c r="K44" s="20">
        <v>1000</v>
      </c>
      <c r="L44" s="50">
        <f t="shared" si="0"/>
        <v>0</v>
      </c>
      <c r="M44" s="76"/>
    </row>
    <row r="45" spans="1:13" x14ac:dyDescent="0.25">
      <c r="A45" s="33" t="s">
        <v>17</v>
      </c>
      <c r="B45" s="89" t="s">
        <v>3</v>
      </c>
      <c r="C45" s="90"/>
      <c r="D45" s="9">
        <v>0.53500000000000003</v>
      </c>
      <c r="E45" s="5">
        <v>1.2</v>
      </c>
      <c r="F45" s="10">
        <f t="shared" si="1"/>
        <v>0.64200000000000002</v>
      </c>
      <c r="G45" s="21">
        <v>30.316666666666681</v>
      </c>
      <c r="H45" s="5">
        <v>0</v>
      </c>
      <c r="I45" s="8">
        <f t="shared" si="2"/>
        <v>0</v>
      </c>
      <c r="J45" s="57">
        <f t="shared" si="3"/>
        <v>0</v>
      </c>
      <c r="K45" s="20">
        <v>1000</v>
      </c>
      <c r="L45" s="50">
        <f t="shared" si="0"/>
        <v>0</v>
      </c>
      <c r="M45" s="76"/>
    </row>
    <row r="46" spans="1:13" x14ac:dyDescent="0.25">
      <c r="A46" s="33" t="s">
        <v>18</v>
      </c>
      <c r="B46" s="89" t="s">
        <v>3</v>
      </c>
      <c r="C46" s="90"/>
      <c r="D46" s="9">
        <v>0.53</v>
      </c>
      <c r="E46" s="5">
        <v>1.2</v>
      </c>
      <c r="F46" s="10">
        <f t="shared" si="1"/>
        <v>0.63600000000000001</v>
      </c>
      <c r="G46" s="21">
        <v>30.033333333333346</v>
      </c>
      <c r="H46" s="5">
        <v>0</v>
      </c>
      <c r="I46" s="8">
        <f t="shared" si="2"/>
        <v>0</v>
      </c>
      <c r="J46" s="57">
        <f t="shared" si="3"/>
        <v>0</v>
      </c>
      <c r="K46" s="20">
        <v>1000</v>
      </c>
      <c r="L46" s="50">
        <f t="shared" si="0"/>
        <v>0</v>
      </c>
      <c r="M46" s="76"/>
    </row>
    <row r="47" spans="1:13" x14ac:dyDescent="0.25">
      <c r="A47" s="34" t="s">
        <v>19</v>
      </c>
      <c r="B47" s="89" t="s">
        <v>3</v>
      </c>
      <c r="C47" s="90"/>
      <c r="D47" s="9">
        <v>0.52500000000000002</v>
      </c>
      <c r="E47" s="5">
        <v>1.2</v>
      </c>
      <c r="F47" s="10">
        <f t="shared" si="1"/>
        <v>0.63</v>
      </c>
      <c r="G47" s="21">
        <v>29.750000000000011</v>
      </c>
      <c r="H47" s="5">
        <v>0</v>
      </c>
      <c r="I47" s="8">
        <f t="shared" si="2"/>
        <v>0</v>
      </c>
      <c r="J47" s="57">
        <f t="shared" si="3"/>
        <v>0</v>
      </c>
      <c r="K47" s="20">
        <v>1000</v>
      </c>
      <c r="L47" s="50">
        <f t="shared" si="0"/>
        <v>0</v>
      </c>
      <c r="M47" s="76"/>
    </row>
    <row r="48" spans="1:13" x14ac:dyDescent="0.25">
      <c r="A48" s="33" t="s">
        <v>20</v>
      </c>
      <c r="B48" s="89" t="s">
        <v>3</v>
      </c>
      <c r="C48" s="90"/>
      <c r="D48" s="9">
        <v>0.52</v>
      </c>
      <c r="E48" s="5">
        <v>1.2</v>
      </c>
      <c r="F48" s="10">
        <f t="shared" si="1"/>
        <v>0.624</v>
      </c>
      <c r="G48" s="21">
        <v>29.466666666666679</v>
      </c>
      <c r="H48" s="5">
        <v>0</v>
      </c>
      <c r="I48" s="8">
        <f t="shared" si="2"/>
        <v>0</v>
      </c>
      <c r="J48" s="57">
        <f t="shared" si="3"/>
        <v>0</v>
      </c>
      <c r="K48" s="20">
        <v>1000</v>
      </c>
      <c r="L48" s="50">
        <f t="shared" si="0"/>
        <v>0</v>
      </c>
      <c r="M48" s="76"/>
    </row>
    <row r="49" spans="1:13" x14ac:dyDescent="0.25">
      <c r="A49" s="33" t="s">
        <v>21</v>
      </c>
      <c r="B49" s="89" t="s">
        <v>3</v>
      </c>
      <c r="C49" s="90"/>
      <c r="D49" s="9">
        <v>0.51500000000000001</v>
      </c>
      <c r="E49" s="5">
        <v>1.2</v>
      </c>
      <c r="F49" s="10">
        <f t="shared" si="1"/>
        <v>0.61799999999999999</v>
      </c>
      <c r="G49" s="21">
        <v>29.183333333333344</v>
      </c>
      <c r="H49" s="5">
        <v>0</v>
      </c>
      <c r="I49" s="8">
        <f t="shared" si="2"/>
        <v>0</v>
      </c>
      <c r="J49" s="57">
        <f t="shared" si="3"/>
        <v>0</v>
      </c>
      <c r="K49" s="20">
        <v>1000</v>
      </c>
      <c r="L49" s="50">
        <f t="shared" si="0"/>
        <v>0</v>
      </c>
      <c r="M49" s="76"/>
    </row>
    <row r="50" spans="1:13" x14ac:dyDescent="0.25">
      <c r="A50" s="33" t="s">
        <v>22</v>
      </c>
      <c r="B50" s="89" t="s">
        <v>3</v>
      </c>
      <c r="C50" s="90"/>
      <c r="D50" s="9">
        <v>0.51</v>
      </c>
      <c r="E50" s="5">
        <v>1.2</v>
      </c>
      <c r="F50" s="10">
        <f t="shared" si="1"/>
        <v>0.61199999999999999</v>
      </c>
      <c r="G50" s="21">
        <v>28.900000000000009</v>
      </c>
      <c r="H50" s="5">
        <v>0</v>
      </c>
      <c r="I50" s="8">
        <f t="shared" si="2"/>
        <v>0</v>
      </c>
      <c r="J50" s="57">
        <f t="shared" si="3"/>
        <v>0</v>
      </c>
      <c r="K50" s="20">
        <v>1000</v>
      </c>
      <c r="L50" s="50">
        <f t="shared" si="0"/>
        <v>0</v>
      </c>
      <c r="M50" s="76"/>
    </row>
    <row r="51" spans="1:13" x14ac:dyDescent="0.25">
      <c r="A51" s="33" t="s">
        <v>23</v>
      </c>
      <c r="B51" s="89" t="s">
        <v>3</v>
      </c>
      <c r="C51" s="90"/>
      <c r="D51" s="9">
        <v>0.505</v>
      </c>
      <c r="E51" s="5">
        <v>1.2</v>
      </c>
      <c r="F51" s="10">
        <f t="shared" si="1"/>
        <v>0.60599999999999998</v>
      </c>
      <c r="G51" s="21">
        <v>28.616666666666674</v>
      </c>
      <c r="H51" s="5">
        <v>0</v>
      </c>
      <c r="I51" s="8">
        <f t="shared" si="2"/>
        <v>0</v>
      </c>
      <c r="J51" s="57">
        <f t="shared" si="3"/>
        <v>0</v>
      </c>
      <c r="K51" s="20">
        <v>1000</v>
      </c>
      <c r="L51" s="50">
        <f t="shared" si="0"/>
        <v>0</v>
      </c>
      <c r="M51" s="76"/>
    </row>
    <row r="52" spans="1:13" x14ac:dyDescent="0.25">
      <c r="A52" s="34" t="s">
        <v>24</v>
      </c>
      <c r="B52" s="89" t="s">
        <v>3</v>
      </c>
      <c r="C52" s="90"/>
      <c r="D52" s="9">
        <v>0.5</v>
      </c>
      <c r="E52" s="5">
        <v>1.2</v>
      </c>
      <c r="F52" s="10">
        <f t="shared" si="1"/>
        <v>0.6</v>
      </c>
      <c r="G52" s="21">
        <v>28.333333333333343</v>
      </c>
      <c r="H52" s="5">
        <v>0</v>
      </c>
      <c r="I52" s="8">
        <f t="shared" si="2"/>
        <v>0</v>
      </c>
      <c r="J52" s="57">
        <f t="shared" si="3"/>
        <v>0</v>
      </c>
      <c r="K52" s="20">
        <v>1000</v>
      </c>
      <c r="L52" s="50">
        <f t="shared" si="0"/>
        <v>0</v>
      </c>
      <c r="M52" s="76"/>
    </row>
    <row r="53" spans="1:13" x14ac:dyDescent="0.25">
      <c r="A53" s="33" t="s">
        <v>25</v>
      </c>
      <c r="B53" s="89" t="s">
        <v>3</v>
      </c>
      <c r="C53" s="90"/>
      <c r="D53" s="9">
        <v>0.495</v>
      </c>
      <c r="E53" s="5">
        <v>1.2</v>
      </c>
      <c r="F53" s="10">
        <f t="shared" si="1"/>
        <v>0.59399999999999997</v>
      </c>
      <c r="G53" s="21">
        <v>28.050000000000011</v>
      </c>
      <c r="H53" s="5">
        <v>0</v>
      </c>
      <c r="I53" s="8">
        <f t="shared" si="2"/>
        <v>0</v>
      </c>
      <c r="J53" s="57">
        <f t="shared" si="3"/>
        <v>0</v>
      </c>
      <c r="K53" s="20">
        <v>1000</v>
      </c>
      <c r="L53" s="50">
        <f t="shared" si="0"/>
        <v>0</v>
      </c>
      <c r="M53" s="76"/>
    </row>
    <row r="54" spans="1:13" x14ac:dyDescent="0.25">
      <c r="A54" s="33" t="s">
        <v>26</v>
      </c>
      <c r="B54" s="89" t="s">
        <v>3</v>
      </c>
      <c r="C54" s="90"/>
      <c r="D54" s="9">
        <v>0.49</v>
      </c>
      <c r="E54" s="5">
        <v>1.2</v>
      </c>
      <c r="F54" s="10">
        <f t="shared" si="1"/>
        <v>0.58799999999999997</v>
      </c>
      <c r="G54" s="21">
        <v>27.766666666666676</v>
      </c>
      <c r="H54" s="5">
        <v>0</v>
      </c>
      <c r="I54" s="8">
        <f t="shared" si="2"/>
        <v>0</v>
      </c>
      <c r="J54" s="57">
        <f t="shared" si="3"/>
        <v>0</v>
      </c>
      <c r="K54" s="20">
        <v>1000</v>
      </c>
      <c r="L54" s="50">
        <f t="shared" si="0"/>
        <v>0</v>
      </c>
      <c r="M54" s="76"/>
    </row>
    <row r="55" spans="1:13" x14ac:dyDescent="0.25">
      <c r="A55" s="33" t="s">
        <v>27</v>
      </c>
      <c r="B55" s="89" t="s">
        <v>3</v>
      </c>
      <c r="C55" s="90"/>
      <c r="D55" s="9">
        <v>0.48499999999999999</v>
      </c>
      <c r="E55" s="5">
        <v>1.2</v>
      </c>
      <c r="F55" s="10">
        <f t="shared" si="1"/>
        <v>0.58199999999999996</v>
      </c>
      <c r="G55" s="21">
        <v>27.483333333333341</v>
      </c>
      <c r="H55" s="5">
        <v>0</v>
      </c>
      <c r="I55" s="8">
        <f t="shared" si="2"/>
        <v>0</v>
      </c>
      <c r="J55" s="57">
        <f t="shared" si="3"/>
        <v>0</v>
      </c>
      <c r="K55" s="20">
        <v>1000</v>
      </c>
      <c r="L55" s="50">
        <f t="shared" si="0"/>
        <v>0</v>
      </c>
      <c r="M55" s="76"/>
    </row>
    <row r="56" spans="1:13" x14ac:dyDescent="0.25">
      <c r="A56" s="33" t="s">
        <v>28</v>
      </c>
      <c r="B56" s="89" t="s">
        <v>3</v>
      </c>
      <c r="C56" s="90"/>
      <c r="D56" s="9">
        <v>0.48</v>
      </c>
      <c r="E56" s="5">
        <v>1.2</v>
      </c>
      <c r="F56" s="10">
        <f t="shared" si="1"/>
        <v>0.57599999999999996</v>
      </c>
      <c r="G56" s="21">
        <v>27.200000000000006</v>
      </c>
      <c r="H56" s="5">
        <v>0</v>
      </c>
      <c r="I56" s="8">
        <f t="shared" si="2"/>
        <v>0</v>
      </c>
      <c r="J56" s="57">
        <f t="shared" si="3"/>
        <v>0</v>
      </c>
      <c r="K56" s="20">
        <v>1000</v>
      </c>
      <c r="L56" s="50">
        <f t="shared" si="0"/>
        <v>0</v>
      </c>
      <c r="M56" s="76"/>
    </row>
    <row r="57" spans="1:13" x14ac:dyDescent="0.25">
      <c r="A57" s="34" t="s">
        <v>29</v>
      </c>
      <c r="B57" s="89" t="s">
        <v>3</v>
      </c>
      <c r="C57" s="90"/>
      <c r="D57" s="9">
        <v>0.47499999999999998</v>
      </c>
      <c r="E57" s="5">
        <v>1.2</v>
      </c>
      <c r="F57" s="10">
        <f t="shared" si="1"/>
        <v>0.56999999999999995</v>
      </c>
      <c r="G57" s="21">
        <v>26.916666666666675</v>
      </c>
      <c r="H57" s="5">
        <v>0</v>
      </c>
      <c r="I57" s="8">
        <f t="shared" si="2"/>
        <v>0</v>
      </c>
      <c r="J57" s="57">
        <f t="shared" si="3"/>
        <v>0</v>
      </c>
      <c r="K57" s="20">
        <v>1000</v>
      </c>
      <c r="L57" s="50">
        <f t="shared" si="0"/>
        <v>0</v>
      </c>
      <c r="M57" s="76"/>
    </row>
    <row r="58" spans="1:13" x14ac:dyDescent="0.25">
      <c r="A58" s="33" t="s">
        <v>30</v>
      </c>
      <c r="B58" s="89" t="s">
        <v>3</v>
      </c>
      <c r="C58" s="90"/>
      <c r="D58" s="9">
        <v>0.47</v>
      </c>
      <c r="E58" s="5">
        <v>1.2</v>
      </c>
      <c r="F58" s="10">
        <f t="shared" si="1"/>
        <v>0.56399999999999995</v>
      </c>
      <c r="G58" s="21">
        <v>26.63333333333334</v>
      </c>
      <c r="H58" s="5">
        <v>0</v>
      </c>
      <c r="I58" s="8">
        <f t="shared" si="2"/>
        <v>0</v>
      </c>
      <c r="J58" s="57">
        <f t="shared" si="3"/>
        <v>0</v>
      </c>
      <c r="K58" s="20">
        <v>1000</v>
      </c>
      <c r="L58" s="50">
        <f t="shared" si="0"/>
        <v>0</v>
      </c>
      <c r="M58" s="76"/>
    </row>
    <row r="59" spans="1:13" x14ac:dyDescent="0.25">
      <c r="A59" s="33" t="s">
        <v>31</v>
      </c>
      <c r="B59" s="89" t="s">
        <v>3</v>
      </c>
      <c r="C59" s="90"/>
      <c r="D59" s="9">
        <v>0.46500000000000002</v>
      </c>
      <c r="E59" s="5">
        <v>1.2</v>
      </c>
      <c r="F59" s="10">
        <f t="shared" si="1"/>
        <v>0.55800000000000005</v>
      </c>
      <c r="G59" s="21">
        <v>26.350000000000012</v>
      </c>
      <c r="H59" s="5">
        <v>0</v>
      </c>
      <c r="I59" s="8">
        <f t="shared" si="2"/>
        <v>0</v>
      </c>
      <c r="J59" s="57">
        <f t="shared" si="3"/>
        <v>0</v>
      </c>
      <c r="K59" s="20">
        <v>1000</v>
      </c>
      <c r="L59" s="50">
        <f t="shared" si="0"/>
        <v>0</v>
      </c>
      <c r="M59" s="76"/>
    </row>
    <row r="60" spans="1:13" x14ac:dyDescent="0.25">
      <c r="A60" s="33" t="s">
        <v>32</v>
      </c>
      <c r="B60" s="89" t="s">
        <v>3</v>
      </c>
      <c r="C60" s="90"/>
      <c r="D60" s="9">
        <v>0.46</v>
      </c>
      <c r="E60" s="5">
        <v>1.2</v>
      </c>
      <c r="F60" s="10">
        <f t="shared" si="1"/>
        <v>0.55200000000000005</v>
      </c>
      <c r="G60" s="21">
        <v>26.066666666666681</v>
      </c>
      <c r="H60" s="5">
        <v>0</v>
      </c>
      <c r="I60" s="8">
        <f t="shared" si="2"/>
        <v>0</v>
      </c>
      <c r="J60" s="57">
        <f t="shared" si="3"/>
        <v>0</v>
      </c>
      <c r="K60" s="20">
        <v>1000</v>
      </c>
      <c r="L60" s="50">
        <f t="shared" ref="L60:L91" si="4">$F60*$H60*$K60</f>
        <v>0</v>
      </c>
      <c r="M60" s="76"/>
    </row>
    <row r="61" spans="1:13" x14ac:dyDescent="0.25">
      <c r="A61" s="33" t="s">
        <v>33</v>
      </c>
      <c r="B61" s="89" t="s">
        <v>3</v>
      </c>
      <c r="C61" s="90"/>
      <c r="D61" s="9">
        <v>0.45500000000000002</v>
      </c>
      <c r="E61" s="5">
        <v>1.2</v>
      </c>
      <c r="F61" s="10">
        <f t="shared" si="1"/>
        <v>0.54600000000000004</v>
      </c>
      <c r="G61" s="21">
        <v>25.783333333333349</v>
      </c>
      <c r="H61" s="5">
        <v>0</v>
      </c>
      <c r="I61" s="8">
        <f t="shared" si="2"/>
        <v>0</v>
      </c>
      <c r="J61" s="57">
        <f t="shared" si="3"/>
        <v>0</v>
      </c>
      <c r="K61" s="20">
        <v>1000</v>
      </c>
      <c r="L61" s="50">
        <f t="shared" si="4"/>
        <v>0</v>
      </c>
      <c r="M61" s="76"/>
    </row>
    <row r="62" spans="1:13" x14ac:dyDescent="0.25">
      <c r="A62" s="34" t="s">
        <v>34</v>
      </c>
      <c r="B62" s="89" t="s">
        <v>3</v>
      </c>
      <c r="C62" s="90"/>
      <c r="D62" s="9">
        <v>0.45</v>
      </c>
      <c r="E62" s="5">
        <v>1.2</v>
      </c>
      <c r="F62" s="10">
        <f t="shared" si="1"/>
        <v>0.54</v>
      </c>
      <c r="G62" s="21">
        <v>25.500000000000014</v>
      </c>
      <c r="H62" s="5">
        <v>0</v>
      </c>
      <c r="I62" s="8">
        <f t="shared" si="2"/>
        <v>0</v>
      </c>
      <c r="J62" s="57">
        <f t="shared" si="3"/>
        <v>0</v>
      </c>
      <c r="K62" s="20">
        <v>1000</v>
      </c>
      <c r="L62" s="50">
        <f t="shared" si="4"/>
        <v>0</v>
      </c>
      <c r="M62" s="76"/>
    </row>
    <row r="63" spans="1:13" x14ac:dyDescent="0.25">
      <c r="A63" s="33" t="s">
        <v>35</v>
      </c>
      <c r="B63" s="89" t="s">
        <v>3</v>
      </c>
      <c r="C63" s="90"/>
      <c r="D63" s="9">
        <v>0.44500000000000001</v>
      </c>
      <c r="E63" s="5">
        <v>1.2</v>
      </c>
      <c r="F63" s="10">
        <f t="shared" si="1"/>
        <v>0.53400000000000003</v>
      </c>
      <c r="G63" s="21">
        <v>25.216666666666679</v>
      </c>
      <c r="H63" s="5">
        <v>0</v>
      </c>
      <c r="I63" s="8">
        <f t="shared" si="2"/>
        <v>0</v>
      </c>
      <c r="J63" s="57">
        <f t="shared" si="3"/>
        <v>0</v>
      </c>
      <c r="K63" s="20">
        <v>1000</v>
      </c>
      <c r="L63" s="50">
        <f t="shared" si="4"/>
        <v>0</v>
      </c>
      <c r="M63" s="76"/>
    </row>
    <row r="64" spans="1:13" x14ac:dyDescent="0.25">
      <c r="A64" s="33" t="s">
        <v>36</v>
      </c>
      <c r="B64" s="89" t="s">
        <v>3</v>
      </c>
      <c r="C64" s="90"/>
      <c r="D64" s="9">
        <v>0.44</v>
      </c>
      <c r="E64" s="5">
        <v>1.2</v>
      </c>
      <c r="F64" s="10">
        <f t="shared" si="1"/>
        <v>0.52800000000000002</v>
      </c>
      <c r="G64" s="21">
        <v>24.933333333333348</v>
      </c>
      <c r="H64" s="5">
        <v>0</v>
      </c>
      <c r="I64" s="8">
        <f t="shared" si="2"/>
        <v>0</v>
      </c>
      <c r="J64" s="57">
        <f t="shared" si="3"/>
        <v>0</v>
      </c>
      <c r="K64" s="20">
        <v>1000</v>
      </c>
      <c r="L64" s="50">
        <f t="shared" si="4"/>
        <v>0</v>
      </c>
      <c r="M64" s="76"/>
    </row>
    <row r="65" spans="1:13" x14ac:dyDescent="0.25">
      <c r="A65" s="33" t="s">
        <v>37</v>
      </c>
      <c r="B65" s="89" t="s">
        <v>3</v>
      </c>
      <c r="C65" s="90"/>
      <c r="D65" s="9">
        <v>0.435</v>
      </c>
      <c r="E65" s="5">
        <v>1.2</v>
      </c>
      <c r="F65" s="10">
        <f t="shared" si="1"/>
        <v>0.52200000000000002</v>
      </c>
      <c r="G65" s="21">
        <v>24.650000000000013</v>
      </c>
      <c r="H65" s="5">
        <v>0</v>
      </c>
      <c r="I65" s="8">
        <f t="shared" si="2"/>
        <v>0</v>
      </c>
      <c r="J65" s="57">
        <f t="shared" si="3"/>
        <v>0</v>
      </c>
      <c r="K65" s="20">
        <v>1000</v>
      </c>
      <c r="L65" s="50">
        <f t="shared" si="4"/>
        <v>0</v>
      </c>
      <c r="M65" s="76"/>
    </row>
    <row r="66" spans="1:13" x14ac:dyDescent="0.25">
      <c r="A66" s="33" t="s">
        <v>38</v>
      </c>
      <c r="B66" s="89" t="s">
        <v>3</v>
      </c>
      <c r="C66" s="90"/>
      <c r="D66" s="9">
        <v>0.43</v>
      </c>
      <c r="E66" s="5">
        <v>1.2</v>
      </c>
      <c r="F66" s="10">
        <f t="shared" si="1"/>
        <v>0.51600000000000001</v>
      </c>
      <c r="G66" s="21">
        <v>24.366666666666681</v>
      </c>
      <c r="H66" s="5">
        <v>0</v>
      </c>
      <c r="I66" s="8">
        <f t="shared" si="2"/>
        <v>0</v>
      </c>
      <c r="J66" s="57">
        <f t="shared" si="3"/>
        <v>0</v>
      </c>
      <c r="K66" s="20">
        <v>1000</v>
      </c>
      <c r="L66" s="50">
        <f t="shared" si="4"/>
        <v>0</v>
      </c>
      <c r="M66" s="76"/>
    </row>
    <row r="67" spans="1:13" x14ac:dyDescent="0.25">
      <c r="A67" s="34" t="s">
        <v>39</v>
      </c>
      <c r="B67" s="89" t="s">
        <v>3</v>
      </c>
      <c r="C67" s="90"/>
      <c r="D67" s="9">
        <v>0.42499999999999999</v>
      </c>
      <c r="E67" s="5">
        <v>1.2</v>
      </c>
      <c r="F67" s="10">
        <f t="shared" si="1"/>
        <v>0.51</v>
      </c>
      <c r="G67" s="21">
        <v>24.08333333333335</v>
      </c>
      <c r="H67" s="5">
        <v>0</v>
      </c>
      <c r="I67" s="8">
        <f t="shared" si="2"/>
        <v>0</v>
      </c>
      <c r="J67" s="57">
        <f t="shared" si="3"/>
        <v>0</v>
      </c>
      <c r="K67" s="20">
        <v>1000</v>
      </c>
      <c r="L67" s="50">
        <f t="shared" si="4"/>
        <v>0</v>
      </c>
      <c r="M67" s="76"/>
    </row>
    <row r="68" spans="1:13" x14ac:dyDescent="0.25">
      <c r="A68" s="33" t="s">
        <v>40</v>
      </c>
      <c r="B68" s="89" t="s">
        <v>3</v>
      </c>
      <c r="C68" s="90"/>
      <c r="D68" s="9">
        <v>0.42</v>
      </c>
      <c r="E68" s="5">
        <v>1.2</v>
      </c>
      <c r="F68" s="10">
        <f t="shared" si="1"/>
        <v>0.504</v>
      </c>
      <c r="G68" s="21">
        <v>23.800000000000018</v>
      </c>
      <c r="H68" s="5">
        <v>0</v>
      </c>
      <c r="I68" s="8">
        <f t="shared" si="2"/>
        <v>0</v>
      </c>
      <c r="J68" s="57">
        <f t="shared" si="3"/>
        <v>0</v>
      </c>
      <c r="K68" s="20">
        <v>1000</v>
      </c>
      <c r="L68" s="50">
        <f t="shared" si="4"/>
        <v>0</v>
      </c>
      <c r="M68" s="76"/>
    </row>
    <row r="69" spans="1:13" x14ac:dyDescent="0.25">
      <c r="A69" s="33" t="s">
        <v>41</v>
      </c>
      <c r="B69" s="89" t="s">
        <v>3</v>
      </c>
      <c r="C69" s="90"/>
      <c r="D69" s="9">
        <v>0.41499999999999998</v>
      </c>
      <c r="E69" s="5">
        <v>1.2</v>
      </c>
      <c r="F69" s="10">
        <f t="shared" si="1"/>
        <v>0.49799999999999994</v>
      </c>
      <c r="G69" s="21">
        <v>23.516666666666683</v>
      </c>
      <c r="H69" s="5">
        <v>0</v>
      </c>
      <c r="I69" s="8">
        <f t="shared" si="2"/>
        <v>0</v>
      </c>
      <c r="J69" s="57">
        <f t="shared" si="3"/>
        <v>0</v>
      </c>
      <c r="K69" s="20">
        <v>1000</v>
      </c>
      <c r="L69" s="50">
        <f t="shared" si="4"/>
        <v>0</v>
      </c>
      <c r="M69" s="76"/>
    </row>
    <row r="70" spans="1:13" x14ac:dyDescent="0.25">
      <c r="A70" s="33" t="s">
        <v>42</v>
      </c>
      <c r="B70" s="89" t="s">
        <v>3</v>
      </c>
      <c r="C70" s="90"/>
      <c r="D70" s="9">
        <v>0.41</v>
      </c>
      <c r="E70" s="5">
        <v>1.2</v>
      </c>
      <c r="F70" s="10">
        <f t="shared" si="1"/>
        <v>0.49199999999999994</v>
      </c>
      <c r="G70" s="21">
        <v>23.233333333333348</v>
      </c>
      <c r="H70" s="5">
        <v>0</v>
      </c>
      <c r="I70" s="8">
        <f t="shared" si="2"/>
        <v>0</v>
      </c>
      <c r="J70" s="57">
        <f t="shared" si="3"/>
        <v>0</v>
      </c>
      <c r="K70" s="20">
        <v>1000</v>
      </c>
      <c r="L70" s="50">
        <f t="shared" si="4"/>
        <v>0</v>
      </c>
      <c r="M70" s="76"/>
    </row>
    <row r="71" spans="1:13" x14ac:dyDescent="0.25">
      <c r="A71" s="33" t="s">
        <v>43</v>
      </c>
      <c r="B71" s="89" t="s">
        <v>3</v>
      </c>
      <c r="C71" s="90"/>
      <c r="D71" s="9">
        <v>0.40500000000000003</v>
      </c>
      <c r="E71" s="5">
        <v>1.2</v>
      </c>
      <c r="F71" s="10">
        <f t="shared" si="1"/>
        <v>0.48599999999999999</v>
      </c>
      <c r="G71" s="21">
        <v>22.950000000000017</v>
      </c>
      <c r="H71" s="5">
        <v>0</v>
      </c>
      <c r="I71" s="8">
        <f t="shared" si="2"/>
        <v>0</v>
      </c>
      <c r="J71" s="57">
        <f t="shared" si="3"/>
        <v>0</v>
      </c>
      <c r="K71" s="20">
        <v>1000</v>
      </c>
      <c r="L71" s="50">
        <f t="shared" si="4"/>
        <v>0</v>
      </c>
      <c r="M71" s="76"/>
    </row>
    <row r="72" spans="1:13" x14ac:dyDescent="0.25">
      <c r="A72" s="34" t="s">
        <v>44</v>
      </c>
      <c r="B72" s="89" t="s">
        <v>3</v>
      </c>
      <c r="C72" s="90"/>
      <c r="D72" s="9">
        <v>0.4</v>
      </c>
      <c r="E72" s="5">
        <v>1.2</v>
      </c>
      <c r="F72" s="10">
        <f t="shared" si="1"/>
        <v>0.48</v>
      </c>
      <c r="G72" s="21">
        <v>22.666666666666682</v>
      </c>
      <c r="H72" s="5">
        <v>0</v>
      </c>
      <c r="I72" s="8">
        <f t="shared" si="2"/>
        <v>0</v>
      </c>
      <c r="J72" s="57">
        <f t="shared" si="3"/>
        <v>0</v>
      </c>
      <c r="K72" s="20">
        <v>1000</v>
      </c>
      <c r="L72" s="50">
        <f t="shared" si="4"/>
        <v>0</v>
      </c>
      <c r="M72" s="76"/>
    </row>
    <row r="73" spans="1:13" x14ac:dyDescent="0.25">
      <c r="A73" s="33" t="s">
        <v>45</v>
      </c>
      <c r="B73" s="82" t="s">
        <v>3</v>
      </c>
      <c r="C73" s="83"/>
      <c r="D73" s="9">
        <v>0.39500000000000002</v>
      </c>
      <c r="E73" s="5">
        <v>1.2</v>
      </c>
      <c r="F73" s="10">
        <f t="shared" si="1"/>
        <v>0.47399999999999998</v>
      </c>
      <c r="G73" s="21">
        <v>22.383333333333347</v>
      </c>
      <c r="H73" s="5">
        <v>0</v>
      </c>
      <c r="I73" s="8">
        <f t="shared" si="2"/>
        <v>0</v>
      </c>
      <c r="J73" s="57">
        <f t="shared" si="3"/>
        <v>0</v>
      </c>
      <c r="K73" s="20">
        <v>1000</v>
      </c>
      <c r="L73" s="50">
        <f t="shared" si="4"/>
        <v>0</v>
      </c>
      <c r="M73" s="76"/>
    </row>
    <row r="74" spans="1:13" x14ac:dyDescent="0.25">
      <c r="A74" s="33" t="s">
        <v>46</v>
      </c>
      <c r="B74" s="82" t="s">
        <v>3</v>
      </c>
      <c r="C74" s="83"/>
      <c r="D74" s="9">
        <v>0.39</v>
      </c>
      <c r="E74" s="5">
        <v>1.2</v>
      </c>
      <c r="F74" s="10">
        <f t="shared" si="1"/>
        <v>0.46799999999999997</v>
      </c>
      <c r="G74" s="21">
        <v>22.100000000000012</v>
      </c>
      <c r="H74" s="5">
        <v>0</v>
      </c>
      <c r="I74" s="8">
        <f t="shared" si="2"/>
        <v>0</v>
      </c>
      <c r="J74" s="57">
        <f t="shared" si="3"/>
        <v>0</v>
      </c>
      <c r="K74" s="20">
        <v>1000</v>
      </c>
      <c r="L74" s="50">
        <f t="shared" si="4"/>
        <v>0</v>
      </c>
      <c r="M74" s="76"/>
    </row>
    <row r="75" spans="1:13" x14ac:dyDescent="0.25">
      <c r="A75" s="33" t="s">
        <v>47</v>
      </c>
      <c r="B75" s="82" t="s">
        <v>3</v>
      </c>
      <c r="C75" s="83"/>
      <c r="D75" s="9">
        <v>0.38500000000000001</v>
      </c>
      <c r="E75" s="5">
        <v>1.2</v>
      </c>
      <c r="F75" s="10">
        <f t="shared" si="1"/>
        <v>0.46199999999999997</v>
      </c>
      <c r="G75" s="21">
        <v>21.816666666666681</v>
      </c>
      <c r="H75" s="5">
        <v>0</v>
      </c>
      <c r="I75" s="8">
        <f t="shared" si="2"/>
        <v>0</v>
      </c>
      <c r="J75" s="57">
        <f t="shared" si="3"/>
        <v>0</v>
      </c>
      <c r="K75" s="20">
        <v>1000</v>
      </c>
      <c r="L75" s="50">
        <f t="shared" si="4"/>
        <v>0</v>
      </c>
      <c r="M75" s="76"/>
    </row>
    <row r="76" spans="1:13" x14ac:dyDescent="0.25">
      <c r="A76" s="33" t="s">
        <v>48</v>
      </c>
      <c r="B76" s="82" t="s">
        <v>3</v>
      </c>
      <c r="C76" s="83"/>
      <c r="D76" s="9">
        <v>0.38</v>
      </c>
      <c r="E76" s="5">
        <v>1.2</v>
      </c>
      <c r="F76" s="10">
        <f t="shared" si="1"/>
        <v>0.45599999999999996</v>
      </c>
      <c r="G76" s="21">
        <v>21.533333333333346</v>
      </c>
      <c r="H76" s="5">
        <v>0</v>
      </c>
      <c r="I76" s="8">
        <f t="shared" si="2"/>
        <v>0</v>
      </c>
      <c r="J76" s="57">
        <f t="shared" si="3"/>
        <v>0</v>
      </c>
      <c r="K76" s="20">
        <v>1000</v>
      </c>
      <c r="L76" s="50">
        <f t="shared" si="4"/>
        <v>0</v>
      </c>
      <c r="M76" s="76"/>
    </row>
    <row r="77" spans="1:13" x14ac:dyDescent="0.25">
      <c r="A77" s="34" t="s">
        <v>49</v>
      </c>
      <c r="B77" s="82" t="s">
        <v>3</v>
      </c>
      <c r="C77" s="83"/>
      <c r="D77" s="9">
        <v>0.375</v>
      </c>
      <c r="E77" s="5">
        <v>1.2</v>
      </c>
      <c r="F77" s="10">
        <f t="shared" si="1"/>
        <v>0.44999999999999996</v>
      </c>
      <c r="G77" s="21">
        <v>21.250000000000011</v>
      </c>
      <c r="H77" s="5">
        <v>0</v>
      </c>
      <c r="I77" s="8">
        <f t="shared" si="2"/>
        <v>0</v>
      </c>
      <c r="J77" s="57">
        <f t="shared" si="3"/>
        <v>0</v>
      </c>
      <c r="K77" s="20">
        <v>1000</v>
      </c>
      <c r="L77" s="50">
        <f t="shared" si="4"/>
        <v>0</v>
      </c>
      <c r="M77" s="76"/>
    </row>
    <row r="78" spans="1:13" x14ac:dyDescent="0.25">
      <c r="A78" s="33" t="s">
        <v>50</v>
      </c>
      <c r="B78" s="82" t="s">
        <v>3</v>
      </c>
      <c r="C78" s="83"/>
      <c r="D78" s="9">
        <v>0.37</v>
      </c>
      <c r="E78" s="5">
        <v>1.2</v>
      </c>
      <c r="F78" s="10">
        <f t="shared" si="1"/>
        <v>0.44400000000000001</v>
      </c>
      <c r="G78" s="21">
        <v>20.966666666666679</v>
      </c>
      <c r="H78" s="5">
        <v>0</v>
      </c>
      <c r="I78" s="8">
        <f t="shared" si="2"/>
        <v>0</v>
      </c>
      <c r="J78" s="57">
        <f t="shared" si="3"/>
        <v>0</v>
      </c>
      <c r="K78" s="20">
        <v>1000</v>
      </c>
      <c r="L78" s="50">
        <f t="shared" si="4"/>
        <v>0</v>
      </c>
      <c r="M78" s="76"/>
    </row>
    <row r="79" spans="1:13" x14ac:dyDescent="0.25">
      <c r="A79" s="33" t="s">
        <v>51</v>
      </c>
      <c r="B79" s="89" t="s">
        <v>3</v>
      </c>
      <c r="C79" s="90"/>
      <c r="D79" s="9">
        <v>0.36499999999999999</v>
      </c>
      <c r="E79" s="5">
        <v>1.2</v>
      </c>
      <c r="F79" s="10">
        <f t="shared" si="1"/>
        <v>0.438</v>
      </c>
      <c r="G79" s="21">
        <v>20.683333333333348</v>
      </c>
      <c r="H79" s="5">
        <v>0</v>
      </c>
      <c r="I79" s="8">
        <f t="shared" si="2"/>
        <v>0</v>
      </c>
      <c r="J79" s="57">
        <f t="shared" si="3"/>
        <v>0</v>
      </c>
      <c r="K79" s="20">
        <v>1000</v>
      </c>
      <c r="L79" s="50">
        <f t="shared" si="4"/>
        <v>0</v>
      </c>
      <c r="M79" s="76"/>
    </row>
    <row r="80" spans="1:13" x14ac:dyDescent="0.25">
      <c r="A80" s="33" t="s">
        <v>52</v>
      </c>
      <c r="B80" s="89" t="s">
        <v>3</v>
      </c>
      <c r="C80" s="90"/>
      <c r="D80" s="9">
        <v>0.36</v>
      </c>
      <c r="E80" s="5">
        <v>1.2</v>
      </c>
      <c r="F80" s="10">
        <f t="shared" si="1"/>
        <v>0.432</v>
      </c>
      <c r="G80" s="21">
        <v>20.400000000000013</v>
      </c>
      <c r="H80" s="5">
        <v>0</v>
      </c>
      <c r="I80" s="8">
        <f t="shared" si="2"/>
        <v>0</v>
      </c>
      <c r="J80" s="57">
        <f t="shared" si="3"/>
        <v>0</v>
      </c>
      <c r="K80" s="20">
        <v>1000</v>
      </c>
      <c r="L80" s="50">
        <f t="shared" si="4"/>
        <v>0</v>
      </c>
      <c r="M80" s="76"/>
    </row>
    <row r="81" spans="1:13" x14ac:dyDescent="0.25">
      <c r="A81" s="33" t="s">
        <v>53</v>
      </c>
      <c r="B81" s="89" t="s">
        <v>3</v>
      </c>
      <c r="C81" s="90"/>
      <c r="D81" s="9">
        <v>0.35499999999999998</v>
      </c>
      <c r="E81" s="5">
        <v>1.2</v>
      </c>
      <c r="F81" s="10">
        <f t="shared" si="1"/>
        <v>0.42599999999999999</v>
      </c>
      <c r="G81" s="21">
        <v>20.116666666666681</v>
      </c>
      <c r="H81" s="5">
        <v>0</v>
      </c>
      <c r="I81" s="8">
        <f t="shared" si="2"/>
        <v>0</v>
      </c>
      <c r="J81" s="57">
        <f t="shared" si="3"/>
        <v>0</v>
      </c>
      <c r="K81" s="20">
        <v>1000</v>
      </c>
      <c r="L81" s="50">
        <f t="shared" si="4"/>
        <v>0</v>
      </c>
      <c r="M81" s="76"/>
    </row>
    <row r="82" spans="1:13" x14ac:dyDescent="0.25">
      <c r="A82" s="34" t="s">
        <v>54</v>
      </c>
      <c r="B82" s="89" t="s">
        <v>3</v>
      </c>
      <c r="C82" s="90"/>
      <c r="D82" s="9">
        <v>0.35</v>
      </c>
      <c r="E82" s="5">
        <v>1.2</v>
      </c>
      <c r="F82" s="10">
        <f t="shared" si="1"/>
        <v>0.42</v>
      </c>
      <c r="G82" s="21">
        <v>19.833333333333346</v>
      </c>
      <c r="H82" s="5">
        <v>0</v>
      </c>
      <c r="I82" s="8">
        <f t="shared" si="2"/>
        <v>0</v>
      </c>
      <c r="J82" s="57">
        <f t="shared" si="3"/>
        <v>0</v>
      </c>
      <c r="K82" s="20">
        <v>1000</v>
      </c>
      <c r="L82" s="50">
        <f t="shared" si="4"/>
        <v>0</v>
      </c>
      <c r="M82" s="76"/>
    </row>
    <row r="83" spans="1:13" x14ac:dyDescent="0.25">
      <c r="A83" s="33" t="s">
        <v>55</v>
      </c>
      <c r="B83" s="89" t="s">
        <v>3</v>
      </c>
      <c r="C83" s="90"/>
      <c r="D83" s="9">
        <v>0.34499999999999997</v>
      </c>
      <c r="E83" s="5">
        <v>1.2</v>
      </c>
      <c r="F83" s="10">
        <f t="shared" si="1"/>
        <v>0.41399999999999998</v>
      </c>
      <c r="G83" s="21">
        <v>19.550000000000015</v>
      </c>
      <c r="H83" s="5">
        <v>0</v>
      </c>
      <c r="I83" s="8">
        <f t="shared" si="2"/>
        <v>0</v>
      </c>
      <c r="J83" s="57">
        <f t="shared" si="3"/>
        <v>0</v>
      </c>
      <c r="K83" s="20">
        <v>1000</v>
      </c>
      <c r="L83" s="50">
        <f t="shared" si="4"/>
        <v>0</v>
      </c>
      <c r="M83" s="76"/>
    </row>
    <row r="84" spans="1:13" x14ac:dyDescent="0.25">
      <c r="A84" s="33" t="s">
        <v>56</v>
      </c>
      <c r="B84" s="89" t="s">
        <v>3</v>
      </c>
      <c r="C84" s="90"/>
      <c r="D84" s="9">
        <v>0.34</v>
      </c>
      <c r="E84" s="5">
        <v>1.2</v>
      </c>
      <c r="F84" s="10">
        <f t="shared" si="1"/>
        <v>0.40800000000000003</v>
      </c>
      <c r="G84" s="21">
        <v>19.266666666666683</v>
      </c>
      <c r="H84" s="5">
        <v>0</v>
      </c>
      <c r="I84" s="8">
        <f t="shared" si="2"/>
        <v>0</v>
      </c>
      <c r="J84" s="57">
        <f t="shared" si="3"/>
        <v>0</v>
      </c>
      <c r="K84" s="20">
        <v>1000</v>
      </c>
      <c r="L84" s="50">
        <f t="shared" si="4"/>
        <v>0</v>
      </c>
      <c r="M84" s="76"/>
    </row>
    <row r="85" spans="1:13" x14ac:dyDescent="0.25">
      <c r="A85" s="33" t="s">
        <v>57</v>
      </c>
      <c r="B85" s="89" t="s">
        <v>3</v>
      </c>
      <c r="C85" s="90"/>
      <c r="D85" s="9">
        <v>0.33500000000000002</v>
      </c>
      <c r="E85" s="5">
        <v>1.2</v>
      </c>
      <c r="F85" s="10">
        <f t="shared" si="1"/>
        <v>0.40200000000000002</v>
      </c>
      <c r="G85" s="21">
        <v>18.983333333333352</v>
      </c>
      <c r="H85" s="5">
        <v>0</v>
      </c>
      <c r="I85" s="8">
        <f t="shared" si="2"/>
        <v>0</v>
      </c>
      <c r="J85" s="57">
        <f t="shared" si="3"/>
        <v>0</v>
      </c>
      <c r="K85" s="20">
        <v>1000</v>
      </c>
      <c r="L85" s="50">
        <f t="shared" si="4"/>
        <v>0</v>
      </c>
      <c r="M85" s="76"/>
    </row>
    <row r="86" spans="1:13" x14ac:dyDescent="0.25">
      <c r="A86" s="33" t="s">
        <v>58</v>
      </c>
      <c r="B86" s="89" t="s">
        <v>3</v>
      </c>
      <c r="C86" s="90"/>
      <c r="D86" s="9">
        <v>0.33</v>
      </c>
      <c r="E86" s="5">
        <v>1.2</v>
      </c>
      <c r="F86" s="10">
        <f t="shared" si="1"/>
        <v>0.39600000000000002</v>
      </c>
      <c r="G86" s="21">
        <v>18.700000000000017</v>
      </c>
      <c r="H86" s="5">
        <v>0</v>
      </c>
      <c r="I86" s="8">
        <f t="shared" si="2"/>
        <v>0</v>
      </c>
      <c r="J86" s="57">
        <f t="shared" si="3"/>
        <v>0</v>
      </c>
      <c r="K86" s="20">
        <v>1000</v>
      </c>
      <c r="L86" s="50">
        <f t="shared" si="4"/>
        <v>0</v>
      </c>
      <c r="M86" s="76"/>
    </row>
    <row r="87" spans="1:13" x14ac:dyDescent="0.25">
      <c r="A87" s="34" t="s">
        <v>59</v>
      </c>
      <c r="B87" s="89" t="s">
        <v>3</v>
      </c>
      <c r="C87" s="90"/>
      <c r="D87" s="9">
        <v>0.32500000000000001</v>
      </c>
      <c r="E87" s="5">
        <v>1.2</v>
      </c>
      <c r="F87" s="10">
        <f t="shared" si="1"/>
        <v>0.39</v>
      </c>
      <c r="G87" s="21">
        <v>18.416666666666686</v>
      </c>
      <c r="H87" s="5">
        <v>0</v>
      </c>
      <c r="I87" s="8">
        <f t="shared" si="2"/>
        <v>0</v>
      </c>
      <c r="J87" s="57">
        <f t="shared" si="3"/>
        <v>0</v>
      </c>
      <c r="K87" s="20">
        <v>1000</v>
      </c>
      <c r="L87" s="50">
        <f t="shared" si="4"/>
        <v>0</v>
      </c>
      <c r="M87" s="76"/>
    </row>
    <row r="88" spans="1:13" x14ac:dyDescent="0.25">
      <c r="A88" s="33" t="s">
        <v>60</v>
      </c>
      <c r="B88" s="89" t="s">
        <v>3</v>
      </c>
      <c r="C88" s="90"/>
      <c r="D88" s="9">
        <v>0.32</v>
      </c>
      <c r="E88" s="5">
        <v>1.2</v>
      </c>
      <c r="F88" s="10">
        <f t="shared" si="1"/>
        <v>0.38400000000000001</v>
      </c>
      <c r="G88" s="21">
        <v>18.133333333333351</v>
      </c>
      <c r="H88" s="5">
        <v>0</v>
      </c>
      <c r="I88" s="8">
        <f t="shared" si="2"/>
        <v>0</v>
      </c>
      <c r="J88" s="57">
        <f t="shared" si="3"/>
        <v>0</v>
      </c>
      <c r="K88" s="20">
        <v>1000</v>
      </c>
      <c r="L88" s="50">
        <f t="shared" si="4"/>
        <v>0</v>
      </c>
      <c r="M88" s="76"/>
    </row>
    <row r="89" spans="1:13" x14ac:dyDescent="0.25">
      <c r="A89" s="33" t="s">
        <v>61</v>
      </c>
      <c r="B89" s="89" t="s">
        <v>3</v>
      </c>
      <c r="C89" s="90"/>
      <c r="D89" s="9">
        <v>0.315</v>
      </c>
      <c r="E89" s="5">
        <v>1.2</v>
      </c>
      <c r="F89" s="10">
        <f t="shared" si="1"/>
        <v>0.378</v>
      </c>
      <c r="G89" s="21">
        <v>17.850000000000016</v>
      </c>
      <c r="H89" s="5">
        <v>0</v>
      </c>
      <c r="I89" s="8">
        <f t="shared" si="2"/>
        <v>0</v>
      </c>
      <c r="J89" s="57">
        <f t="shared" si="3"/>
        <v>0</v>
      </c>
      <c r="K89" s="20">
        <v>1000</v>
      </c>
      <c r="L89" s="50">
        <f t="shared" si="4"/>
        <v>0</v>
      </c>
      <c r="M89" s="76"/>
    </row>
    <row r="90" spans="1:13" x14ac:dyDescent="0.25">
      <c r="A90" s="33" t="s">
        <v>62</v>
      </c>
      <c r="B90" s="89" t="s">
        <v>3</v>
      </c>
      <c r="C90" s="90"/>
      <c r="D90" s="9">
        <v>0.31</v>
      </c>
      <c r="E90" s="5">
        <v>1.2</v>
      </c>
      <c r="F90" s="10">
        <f t="shared" si="1"/>
        <v>0.372</v>
      </c>
      <c r="G90" s="21">
        <v>17.566666666666681</v>
      </c>
      <c r="H90" s="5">
        <v>0</v>
      </c>
      <c r="I90" s="8">
        <f t="shared" si="2"/>
        <v>0</v>
      </c>
      <c r="J90" s="57">
        <f t="shared" si="3"/>
        <v>0</v>
      </c>
      <c r="K90" s="20">
        <v>1000</v>
      </c>
      <c r="L90" s="50">
        <f t="shared" si="4"/>
        <v>0</v>
      </c>
      <c r="M90" s="76"/>
    </row>
    <row r="91" spans="1:13" x14ac:dyDescent="0.25">
      <c r="A91" s="33" t="s">
        <v>63</v>
      </c>
      <c r="B91" s="89" t="s">
        <v>3</v>
      </c>
      <c r="C91" s="90"/>
      <c r="D91" s="9">
        <v>0.30499999999999999</v>
      </c>
      <c r="E91" s="5">
        <v>1.2</v>
      </c>
      <c r="F91" s="10">
        <f t="shared" si="1"/>
        <v>0.36599999999999999</v>
      </c>
      <c r="G91" s="21">
        <v>17.283333333333346</v>
      </c>
      <c r="H91" s="5">
        <v>0</v>
      </c>
      <c r="I91" s="8">
        <f t="shared" si="2"/>
        <v>0</v>
      </c>
      <c r="J91" s="57">
        <f t="shared" si="3"/>
        <v>0</v>
      </c>
      <c r="K91" s="20">
        <v>1000</v>
      </c>
      <c r="L91" s="50">
        <f t="shared" si="4"/>
        <v>0</v>
      </c>
      <c r="M91" s="76"/>
    </row>
    <row r="92" spans="1:13" x14ac:dyDescent="0.25">
      <c r="A92" s="34" t="s">
        <v>64</v>
      </c>
      <c r="B92" s="89" t="s">
        <v>3</v>
      </c>
      <c r="C92" s="90"/>
      <c r="D92" s="9">
        <v>0.3</v>
      </c>
      <c r="E92" s="5">
        <v>1.2</v>
      </c>
      <c r="F92" s="10">
        <f t="shared" si="1"/>
        <v>0.36</v>
      </c>
      <c r="G92" s="21">
        <v>17.000000000000011</v>
      </c>
      <c r="H92" s="5">
        <v>0</v>
      </c>
      <c r="I92" s="8">
        <f t="shared" si="2"/>
        <v>0</v>
      </c>
      <c r="J92" s="57">
        <f t="shared" si="3"/>
        <v>0</v>
      </c>
      <c r="K92" s="20">
        <v>1000</v>
      </c>
      <c r="L92" s="50">
        <f t="shared" ref="L92:L123" si="5">$F92*$H92*$K92</f>
        <v>0</v>
      </c>
      <c r="M92" s="76"/>
    </row>
    <row r="93" spans="1:13" x14ac:dyDescent="0.25">
      <c r="A93" s="33" t="s">
        <v>65</v>
      </c>
      <c r="B93" s="89" t="s">
        <v>3</v>
      </c>
      <c r="C93" s="90"/>
      <c r="D93" s="9">
        <v>0.29499999999999998</v>
      </c>
      <c r="E93" s="5">
        <v>1.2</v>
      </c>
      <c r="F93" s="10">
        <f t="shared" si="1"/>
        <v>0.35399999999999998</v>
      </c>
      <c r="G93" s="21">
        <v>16.716666666666676</v>
      </c>
      <c r="H93" s="5">
        <v>0</v>
      </c>
      <c r="I93" s="8">
        <f t="shared" si="2"/>
        <v>0</v>
      </c>
      <c r="J93" s="57">
        <f t="shared" si="3"/>
        <v>0</v>
      </c>
      <c r="K93" s="20">
        <v>1000</v>
      </c>
      <c r="L93" s="50">
        <f t="shared" si="5"/>
        <v>0</v>
      </c>
      <c r="M93" s="76"/>
    </row>
    <row r="94" spans="1:13" x14ac:dyDescent="0.25">
      <c r="A94" s="33" t="s">
        <v>66</v>
      </c>
      <c r="B94" s="82" t="s">
        <v>3</v>
      </c>
      <c r="C94" s="83"/>
      <c r="D94" s="9">
        <v>0.28999999999999998</v>
      </c>
      <c r="E94" s="5">
        <v>1.2</v>
      </c>
      <c r="F94" s="10">
        <f t="shared" si="1"/>
        <v>0.34799999999999998</v>
      </c>
      <c r="G94" s="21">
        <v>16.433333333333341</v>
      </c>
      <c r="H94" s="5">
        <v>0</v>
      </c>
      <c r="I94" s="8">
        <f t="shared" si="2"/>
        <v>0</v>
      </c>
      <c r="J94" s="57">
        <f t="shared" si="3"/>
        <v>0</v>
      </c>
      <c r="K94" s="20">
        <v>1000</v>
      </c>
      <c r="L94" s="50">
        <f t="shared" si="5"/>
        <v>0</v>
      </c>
      <c r="M94" s="76"/>
    </row>
    <row r="95" spans="1:13" x14ac:dyDescent="0.25">
      <c r="A95" s="33" t="s">
        <v>67</v>
      </c>
      <c r="B95" s="89" t="s">
        <v>3</v>
      </c>
      <c r="C95" s="90"/>
      <c r="D95" s="9">
        <v>0.28499999999999998</v>
      </c>
      <c r="E95" s="5">
        <v>1.2</v>
      </c>
      <c r="F95" s="10">
        <f t="shared" si="1"/>
        <v>0.34199999999999997</v>
      </c>
      <c r="G95" s="21">
        <v>16.150000000000009</v>
      </c>
      <c r="H95" s="5">
        <v>0</v>
      </c>
      <c r="I95" s="8">
        <f t="shared" si="2"/>
        <v>0</v>
      </c>
      <c r="J95" s="57">
        <f t="shared" si="3"/>
        <v>0</v>
      </c>
      <c r="K95" s="20">
        <v>1000</v>
      </c>
      <c r="L95" s="50">
        <f t="shared" si="5"/>
        <v>0</v>
      </c>
      <c r="M95" s="76"/>
    </row>
    <row r="96" spans="1:13" x14ac:dyDescent="0.25">
      <c r="A96" s="33" t="s">
        <v>68</v>
      </c>
      <c r="B96" s="89" t="s">
        <v>3</v>
      </c>
      <c r="C96" s="90"/>
      <c r="D96" s="9">
        <v>0.28000000000000003</v>
      </c>
      <c r="E96" s="5">
        <v>1.2</v>
      </c>
      <c r="F96" s="10">
        <f t="shared" si="1"/>
        <v>0.33600000000000002</v>
      </c>
      <c r="G96" s="21">
        <v>15.86666666666668</v>
      </c>
      <c r="H96" s="5">
        <v>0</v>
      </c>
      <c r="I96" s="8">
        <f t="shared" si="2"/>
        <v>0</v>
      </c>
      <c r="J96" s="57">
        <f t="shared" si="3"/>
        <v>0</v>
      </c>
      <c r="K96" s="20">
        <v>1000</v>
      </c>
      <c r="L96" s="50">
        <f t="shared" si="5"/>
        <v>0</v>
      </c>
      <c r="M96" s="76"/>
    </row>
    <row r="97" spans="1:13" x14ac:dyDescent="0.25">
      <c r="A97" s="34" t="s">
        <v>69</v>
      </c>
      <c r="B97" s="89" t="s">
        <v>3</v>
      </c>
      <c r="C97" s="90"/>
      <c r="D97" s="9">
        <v>0.27500000000000002</v>
      </c>
      <c r="E97" s="5">
        <v>1.2</v>
      </c>
      <c r="F97" s="10">
        <f t="shared" ref="F97:F142" si="6">$D97*$E97</f>
        <v>0.33</v>
      </c>
      <c r="G97" s="21">
        <v>15.583333333333345</v>
      </c>
      <c r="H97" s="5">
        <v>0</v>
      </c>
      <c r="I97" s="8">
        <f t="shared" ref="I97:I142" si="7">$F97*$H97</f>
        <v>0</v>
      </c>
      <c r="J97" s="57">
        <f t="shared" ref="J97:J142" si="8">$G97*$H97</f>
        <v>0</v>
      </c>
      <c r="K97" s="20">
        <v>1000</v>
      </c>
      <c r="L97" s="50">
        <f t="shared" si="5"/>
        <v>0</v>
      </c>
      <c r="M97" s="76"/>
    </row>
    <row r="98" spans="1:13" x14ac:dyDescent="0.25">
      <c r="A98" s="33" t="s">
        <v>70</v>
      </c>
      <c r="B98" s="82" t="s">
        <v>3</v>
      </c>
      <c r="C98" s="83"/>
      <c r="D98" s="9">
        <v>0.27</v>
      </c>
      <c r="E98" s="5">
        <v>1.2</v>
      </c>
      <c r="F98" s="10">
        <f t="shared" si="6"/>
        <v>0.32400000000000001</v>
      </c>
      <c r="G98" s="21">
        <v>15.300000000000011</v>
      </c>
      <c r="H98" s="5">
        <v>0</v>
      </c>
      <c r="I98" s="8">
        <f t="shared" si="7"/>
        <v>0</v>
      </c>
      <c r="J98" s="57">
        <f t="shared" si="8"/>
        <v>0</v>
      </c>
      <c r="K98" s="20">
        <v>1000</v>
      </c>
      <c r="L98" s="50">
        <f t="shared" si="5"/>
        <v>0</v>
      </c>
      <c r="M98" s="76"/>
    </row>
    <row r="99" spans="1:13" x14ac:dyDescent="0.25">
      <c r="A99" s="33" t="s">
        <v>71</v>
      </c>
      <c r="B99" s="82" t="s">
        <v>3</v>
      </c>
      <c r="C99" s="83"/>
      <c r="D99" s="9">
        <v>0.26500000000000001</v>
      </c>
      <c r="E99" s="5">
        <v>1.2</v>
      </c>
      <c r="F99" s="10">
        <f t="shared" si="6"/>
        <v>0.318</v>
      </c>
      <c r="G99" s="21">
        <v>15.016666666666678</v>
      </c>
      <c r="H99" s="5">
        <v>0</v>
      </c>
      <c r="I99" s="8">
        <f t="shared" si="7"/>
        <v>0</v>
      </c>
      <c r="J99" s="57">
        <f t="shared" si="8"/>
        <v>0</v>
      </c>
      <c r="K99" s="20">
        <v>1000</v>
      </c>
      <c r="L99" s="50">
        <f t="shared" si="5"/>
        <v>0</v>
      </c>
      <c r="M99" s="76"/>
    </row>
    <row r="100" spans="1:13" x14ac:dyDescent="0.25">
      <c r="A100" s="33" t="s">
        <v>72</v>
      </c>
      <c r="B100" s="82" t="s">
        <v>3</v>
      </c>
      <c r="C100" s="83"/>
      <c r="D100" s="9">
        <v>0.26</v>
      </c>
      <c r="E100" s="5">
        <v>1.2</v>
      </c>
      <c r="F100" s="10">
        <f t="shared" si="6"/>
        <v>0.312</v>
      </c>
      <c r="G100" s="21">
        <v>14.733333333333345</v>
      </c>
      <c r="H100" s="5">
        <v>0</v>
      </c>
      <c r="I100" s="8">
        <f t="shared" si="7"/>
        <v>0</v>
      </c>
      <c r="J100" s="57">
        <f t="shared" si="8"/>
        <v>0</v>
      </c>
      <c r="K100" s="20">
        <v>1000</v>
      </c>
      <c r="L100" s="50">
        <f t="shared" si="5"/>
        <v>0</v>
      </c>
      <c r="M100" s="76"/>
    </row>
    <row r="101" spans="1:13" x14ac:dyDescent="0.25">
      <c r="A101" s="33" t="s">
        <v>73</v>
      </c>
      <c r="B101" s="82" t="s">
        <v>3</v>
      </c>
      <c r="C101" s="83"/>
      <c r="D101" s="9">
        <v>0.255</v>
      </c>
      <c r="E101" s="5">
        <v>1.2</v>
      </c>
      <c r="F101" s="10">
        <f t="shared" si="6"/>
        <v>0.30599999999999999</v>
      </c>
      <c r="G101" s="21">
        <v>14.450000000000012</v>
      </c>
      <c r="H101" s="5">
        <v>0</v>
      </c>
      <c r="I101" s="8">
        <f t="shared" si="7"/>
        <v>0</v>
      </c>
      <c r="J101" s="57">
        <f t="shared" si="8"/>
        <v>0</v>
      </c>
      <c r="K101" s="20">
        <v>1000</v>
      </c>
      <c r="L101" s="50">
        <f t="shared" si="5"/>
        <v>0</v>
      </c>
      <c r="M101" s="76"/>
    </row>
    <row r="102" spans="1:13" x14ac:dyDescent="0.25">
      <c r="A102" s="34" t="s">
        <v>74</v>
      </c>
      <c r="B102" s="82" t="s">
        <v>3</v>
      </c>
      <c r="C102" s="83"/>
      <c r="D102" s="9">
        <v>0.25</v>
      </c>
      <c r="E102" s="5">
        <v>1.2</v>
      </c>
      <c r="F102" s="10">
        <f t="shared" si="6"/>
        <v>0.3</v>
      </c>
      <c r="G102" s="21">
        <v>14.166666666666679</v>
      </c>
      <c r="H102" s="5">
        <v>0</v>
      </c>
      <c r="I102" s="8">
        <f t="shared" si="7"/>
        <v>0</v>
      </c>
      <c r="J102" s="57">
        <f t="shared" si="8"/>
        <v>0</v>
      </c>
      <c r="K102" s="20">
        <v>1000</v>
      </c>
      <c r="L102" s="50">
        <f t="shared" si="5"/>
        <v>0</v>
      </c>
      <c r="M102" s="76"/>
    </row>
    <row r="103" spans="1:13" x14ac:dyDescent="0.25">
      <c r="A103" s="33" t="s">
        <v>75</v>
      </c>
      <c r="B103" s="82" t="s">
        <v>3</v>
      </c>
      <c r="C103" s="83"/>
      <c r="D103" s="9">
        <v>0.245</v>
      </c>
      <c r="E103" s="5">
        <v>1.2</v>
      </c>
      <c r="F103" s="10">
        <f t="shared" si="6"/>
        <v>0.29399999999999998</v>
      </c>
      <c r="G103" s="21">
        <v>13.883333333333345</v>
      </c>
      <c r="H103" s="5">
        <v>0</v>
      </c>
      <c r="I103" s="8">
        <f t="shared" si="7"/>
        <v>0</v>
      </c>
      <c r="J103" s="57">
        <f t="shared" si="8"/>
        <v>0</v>
      </c>
      <c r="K103" s="20">
        <v>1000</v>
      </c>
      <c r="L103" s="50">
        <f t="shared" si="5"/>
        <v>0</v>
      </c>
      <c r="M103" s="76"/>
    </row>
    <row r="104" spans="1:13" x14ac:dyDescent="0.25">
      <c r="A104" s="33" t="s">
        <v>76</v>
      </c>
      <c r="B104" s="82" t="s">
        <v>3</v>
      </c>
      <c r="C104" s="83"/>
      <c r="D104" s="9">
        <v>0.24</v>
      </c>
      <c r="E104" s="5">
        <v>1.2</v>
      </c>
      <c r="F104" s="10">
        <f t="shared" si="6"/>
        <v>0.28799999999999998</v>
      </c>
      <c r="G104" s="21">
        <v>13.600000000000012</v>
      </c>
      <c r="H104" s="5">
        <v>0</v>
      </c>
      <c r="I104" s="8">
        <f t="shared" si="7"/>
        <v>0</v>
      </c>
      <c r="J104" s="57">
        <f t="shared" si="8"/>
        <v>0</v>
      </c>
      <c r="K104" s="20">
        <v>1000</v>
      </c>
      <c r="L104" s="50">
        <f t="shared" si="5"/>
        <v>0</v>
      </c>
      <c r="M104" s="76"/>
    </row>
    <row r="105" spans="1:13" x14ac:dyDescent="0.25">
      <c r="A105" s="33" t="s">
        <v>77</v>
      </c>
      <c r="B105" s="82" t="s">
        <v>3</v>
      </c>
      <c r="C105" s="83"/>
      <c r="D105" s="9">
        <v>0.23499999999999999</v>
      </c>
      <c r="E105" s="5">
        <v>1.2</v>
      </c>
      <c r="F105" s="10">
        <f t="shared" si="6"/>
        <v>0.28199999999999997</v>
      </c>
      <c r="G105" s="21">
        <v>13.316666666666679</v>
      </c>
      <c r="H105" s="5">
        <v>0</v>
      </c>
      <c r="I105" s="8">
        <f t="shared" si="7"/>
        <v>0</v>
      </c>
      <c r="J105" s="57">
        <f t="shared" si="8"/>
        <v>0</v>
      </c>
      <c r="K105" s="20">
        <v>1000</v>
      </c>
      <c r="L105" s="50">
        <f t="shared" si="5"/>
        <v>0</v>
      </c>
      <c r="M105" s="76"/>
    </row>
    <row r="106" spans="1:13" x14ac:dyDescent="0.25">
      <c r="A106" s="33" t="s">
        <v>78</v>
      </c>
      <c r="B106" s="82" t="s">
        <v>3</v>
      </c>
      <c r="C106" s="83"/>
      <c r="D106" s="9">
        <v>0.23</v>
      </c>
      <c r="E106" s="5">
        <v>1.2</v>
      </c>
      <c r="F106" s="10">
        <f t="shared" si="6"/>
        <v>0.27600000000000002</v>
      </c>
      <c r="G106" s="21">
        <v>13.033333333333347</v>
      </c>
      <c r="H106" s="5">
        <v>0</v>
      </c>
      <c r="I106" s="8">
        <f t="shared" si="7"/>
        <v>0</v>
      </c>
      <c r="J106" s="57">
        <f t="shared" si="8"/>
        <v>0</v>
      </c>
      <c r="K106" s="20">
        <v>1000</v>
      </c>
      <c r="L106" s="50">
        <f t="shared" si="5"/>
        <v>0</v>
      </c>
      <c r="M106" s="76"/>
    </row>
    <row r="107" spans="1:13" x14ac:dyDescent="0.25">
      <c r="A107" s="34" t="s">
        <v>79</v>
      </c>
      <c r="B107" s="82" t="s">
        <v>3</v>
      </c>
      <c r="C107" s="83"/>
      <c r="D107" s="9">
        <v>0.22500000000000001</v>
      </c>
      <c r="E107" s="5">
        <v>1.2</v>
      </c>
      <c r="F107" s="10">
        <f t="shared" si="6"/>
        <v>0.27</v>
      </c>
      <c r="G107" s="21">
        <v>12.750000000000014</v>
      </c>
      <c r="H107" s="5">
        <v>0</v>
      </c>
      <c r="I107" s="8">
        <f t="shared" si="7"/>
        <v>0</v>
      </c>
      <c r="J107" s="57">
        <f t="shared" si="8"/>
        <v>0</v>
      </c>
      <c r="K107" s="20">
        <v>1000</v>
      </c>
      <c r="L107" s="50">
        <f t="shared" si="5"/>
        <v>0</v>
      </c>
      <c r="M107" s="76"/>
    </row>
    <row r="108" spans="1:13" x14ac:dyDescent="0.25">
      <c r="A108" s="33" t="s">
        <v>80</v>
      </c>
      <c r="B108" s="82" t="s">
        <v>3</v>
      </c>
      <c r="C108" s="83"/>
      <c r="D108" s="9">
        <v>0.22</v>
      </c>
      <c r="E108" s="5">
        <v>1.2</v>
      </c>
      <c r="F108" s="10">
        <f t="shared" si="6"/>
        <v>0.26400000000000001</v>
      </c>
      <c r="G108" s="21">
        <v>12.466666666666681</v>
      </c>
      <c r="H108" s="5">
        <v>0</v>
      </c>
      <c r="I108" s="8">
        <f t="shared" si="7"/>
        <v>0</v>
      </c>
      <c r="J108" s="57">
        <f t="shared" si="8"/>
        <v>0</v>
      </c>
      <c r="K108" s="20">
        <v>1000</v>
      </c>
      <c r="L108" s="50">
        <f t="shared" si="5"/>
        <v>0</v>
      </c>
      <c r="M108" s="76"/>
    </row>
    <row r="109" spans="1:13" x14ac:dyDescent="0.25">
      <c r="A109" s="33" t="s">
        <v>81</v>
      </c>
      <c r="B109" s="82" t="s">
        <v>3</v>
      </c>
      <c r="C109" s="83"/>
      <c r="D109" s="9">
        <v>0.215</v>
      </c>
      <c r="E109" s="5">
        <v>1.2</v>
      </c>
      <c r="F109" s="10">
        <f t="shared" si="6"/>
        <v>0.25800000000000001</v>
      </c>
      <c r="G109" s="21">
        <v>12.183333333333346</v>
      </c>
      <c r="H109" s="5">
        <v>0</v>
      </c>
      <c r="I109" s="8">
        <f t="shared" si="7"/>
        <v>0</v>
      </c>
      <c r="J109" s="57">
        <f t="shared" si="8"/>
        <v>0</v>
      </c>
      <c r="K109" s="20">
        <v>1000</v>
      </c>
      <c r="L109" s="50">
        <f t="shared" si="5"/>
        <v>0</v>
      </c>
      <c r="M109" s="76"/>
    </row>
    <row r="110" spans="1:13" x14ac:dyDescent="0.25">
      <c r="A110" s="33" t="s">
        <v>82</v>
      </c>
      <c r="B110" s="89" t="s">
        <v>3</v>
      </c>
      <c r="C110" s="90"/>
      <c r="D110" s="9">
        <v>0.21</v>
      </c>
      <c r="E110" s="5">
        <v>1.2</v>
      </c>
      <c r="F110" s="10">
        <f t="shared" si="6"/>
        <v>0.252</v>
      </c>
      <c r="G110" s="21">
        <v>11.900000000000013</v>
      </c>
      <c r="H110" s="5">
        <v>0</v>
      </c>
      <c r="I110" s="8">
        <f t="shared" si="7"/>
        <v>0</v>
      </c>
      <c r="J110" s="57">
        <f t="shared" si="8"/>
        <v>0</v>
      </c>
      <c r="K110" s="20">
        <v>1000</v>
      </c>
      <c r="L110" s="50">
        <f t="shared" si="5"/>
        <v>0</v>
      </c>
      <c r="M110" s="76"/>
    </row>
    <row r="111" spans="1:13" x14ac:dyDescent="0.25">
      <c r="A111" s="33" t="s">
        <v>83</v>
      </c>
      <c r="B111" s="89" t="s">
        <v>3</v>
      </c>
      <c r="C111" s="90"/>
      <c r="D111" s="9">
        <v>0.20499999999999999</v>
      </c>
      <c r="E111" s="5">
        <v>1.2</v>
      </c>
      <c r="F111" s="10">
        <f t="shared" si="6"/>
        <v>0.24599999999999997</v>
      </c>
      <c r="G111" s="21">
        <v>11.616666666666678</v>
      </c>
      <c r="H111" s="5">
        <v>0</v>
      </c>
      <c r="I111" s="8">
        <f t="shared" si="7"/>
        <v>0</v>
      </c>
      <c r="J111" s="57">
        <f t="shared" si="8"/>
        <v>0</v>
      </c>
      <c r="K111" s="20">
        <v>1000</v>
      </c>
      <c r="L111" s="50">
        <f t="shared" si="5"/>
        <v>0</v>
      </c>
      <c r="M111" s="76"/>
    </row>
    <row r="112" spans="1:13" x14ac:dyDescent="0.25">
      <c r="A112" s="34" t="s">
        <v>84</v>
      </c>
      <c r="B112" s="89" t="s">
        <v>3</v>
      </c>
      <c r="C112" s="90"/>
      <c r="D112" s="9">
        <v>0.2</v>
      </c>
      <c r="E112" s="5">
        <v>1.2</v>
      </c>
      <c r="F112" s="10">
        <f t="shared" si="6"/>
        <v>0.24</v>
      </c>
      <c r="G112" s="21">
        <v>11.333333333333345</v>
      </c>
      <c r="H112" s="5">
        <v>0</v>
      </c>
      <c r="I112" s="8">
        <f t="shared" si="7"/>
        <v>0</v>
      </c>
      <c r="J112" s="57">
        <f t="shared" si="8"/>
        <v>0</v>
      </c>
      <c r="K112" s="20">
        <v>1000</v>
      </c>
      <c r="L112" s="50">
        <f t="shared" si="5"/>
        <v>0</v>
      </c>
      <c r="M112" s="76"/>
    </row>
    <row r="113" spans="1:13" x14ac:dyDescent="0.25">
      <c r="A113" s="33" t="s">
        <v>85</v>
      </c>
      <c r="B113" s="89" t="s">
        <v>3</v>
      </c>
      <c r="C113" s="90"/>
      <c r="D113" s="9">
        <v>0.19500000000000001</v>
      </c>
      <c r="E113" s="5">
        <v>1.2</v>
      </c>
      <c r="F113" s="10">
        <f t="shared" si="6"/>
        <v>0.23399999999999999</v>
      </c>
      <c r="G113" s="21">
        <v>11.05000000000001</v>
      </c>
      <c r="H113" s="5">
        <v>0</v>
      </c>
      <c r="I113" s="8">
        <f t="shared" si="7"/>
        <v>0</v>
      </c>
      <c r="J113" s="57">
        <f t="shared" si="8"/>
        <v>0</v>
      </c>
      <c r="K113" s="20">
        <v>1000</v>
      </c>
      <c r="L113" s="50">
        <f t="shared" si="5"/>
        <v>0</v>
      </c>
      <c r="M113" s="76"/>
    </row>
    <row r="114" spans="1:13" x14ac:dyDescent="0.25">
      <c r="A114" s="33" t="s">
        <v>86</v>
      </c>
      <c r="B114" s="89" t="s">
        <v>3</v>
      </c>
      <c r="C114" s="90"/>
      <c r="D114" s="9">
        <v>0.19</v>
      </c>
      <c r="E114" s="5">
        <v>1.2</v>
      </c>
      <c r="F114" s="10">
        <f t="shared" si="6"/>
        <v>0.22799999999999998</v>
      </c>
      <c r="G114" s="21">
        <v>10.766666666666675</v>
      </c>
      <c r="H114" s="5">
        <v>0</v>
      </c>
      <c r="I114" s="8">
        <f t="shared" si="7"/>
        <v>0</v>
      </c>
      <c r="J114" s="57">
        <f t="shared" si="8"/>
        <v>0</v>
      </c>
      <c r="K114" s="20">
        <v>1000</v>
      </c>
      <c r="L114" s="50">
        <f t="shared" si="5"/>
        <v>0</v>
      </c>
      <c r="M114" s="76"/>
    </row>
    <row r="115" spans="1:13" x14ac:dyDescent="0.25">
      <c r="A115" s="33" t="s">
        <v>87</v>
      </c>
      <c r="B115" s="89" t="s">
        <v>3</v>
      </c>
      <c r="C115" s="90"/>
      <c r="D115" s="9">
        <v>0.185</v>
      </c>
      <c r="E115" s="5">
        <v>1.2</v>
      </c>
      <c r="F115" s="10">
        <f t="shared" si="6"/>
        <v>0.222</v>
      </c>
      <c r="G115" s="21">
        <v>10.483333333333343</v>
      </c>
      <c r="H115" s="5">
        <v>0</v>
      </c>
      <c r="I115" s="8">
        <f t="shared" si="7"/>
        <v>0</v>
      </c>
      <c r="J115" s="57">
        <f t="shared" si="8"/>
        <v>0</v>
      </c>
      <c r="K115" s="20">
        <v>1000</v>
      </c>
      <c r="L115" s="50">
        <f t="shared" si="5"/>
        <v>0</v>
      </c>
      <c r="M115" s="76"/>
    </row>
    <row r="116" spans="1:13" x14ac:dyDescent="0.25">
      <c r="A116" s="33" t="s">
        <v>88</v>
      </c>
      <c r="B116" s="89" t="s">
        <v>3</v>
      </c>
      <c r="C116" s="90"/>
      <c r="D116" s="9">
        <v>0.18</v>
      </c>
      <c r="E116" s="5">
        <v>1.2</v>
      </c>
      <c r="F116" s="10">
        <f t="shared" si="6"/>
        <v>0.216</v>
      </c>
      <c r="G116" s="21">
        <v>10.200000000000008</v>
      </c>
      <c r="H116" s="5">
        <v>0</v>
      </c>
      <c r="I116" s="8">
        <f t="shared" si="7"/>
        <v>0</v>
      </c>
      <c r="J116" s="57">
        <f t="shared" si="8"/>
        <v>0</v>
      </c>
      <c r="K116" s="20">
        <v>1000</v>
      </c>
      <c r="L116" s="50">
        <f t="shared" si="5"/>
        <v>0</v>
      </c>
      <c r="M116" s="76"/>
    </row>
    <row r="117" spans="1:13" x14ac:dyDescent="0.25">
      <c r="A117" s="34" t="s">
        <v>89</v>
      </c>
      <c r="B117" s="89" t="s">
        <v>3</v>
      </c>
      <c r="C117" s="90"/>
      <c r="D117" s="9">
        <v>0.17499999999999999</v>
      </c>
      <c r="E117" s="5">
        <v>1.2</v>
      </c>
      <c r="F117" s="10">
        <f t="shared" si="6"/>
        <v>0.21</v>
      </c>
      <c r="G117" s="21">
        <v>9.916666666666675</v>
      </c>
      <c r="H117" s="5">
        <v>0</v>
      </c>
      <c r="I117" s="8">
        <f t="shared" si="7"/>
        <v>0</v>
      </c>
      <c r="J117" s="57">
        <f t="shared" si="8"/>
        <v>0</v>
      </c>
      <c r="K117" s="20">
        <v>1000</v>
      </c>
      <c r="L117" s="50">
        <f t="shared" si="5"/>
        <v>0</v>
      </c>
      <c r="M117" s="76"/>
    </row>
    <row r="118" spans="1:13" x14ac:dyDescent="0.25">
      <c r="A118" s="33" t="s">
        <v>90</v>
      </c>
      <c r="B118" s="89" t="s">
        <v>3</v>
      </c>
      <c r="C118" s="90"/>
      <c r="D118" s="9">
        <v>0.17</v>
      </c>
      <c r="E118" s="5">
        <v>1.2</v>
      </c>
      <c r="F118" s="10">
        <f t="shared" si="6"/>
        <v>0.20400000000000001</v>
      </c>
      <c r="G118" s="21">
        <v>9.6333333333333435</v>
      </c>
      <c r="H118" s="5">
        <v>0</v>
      </c>
      <c r="I118" s="8">
        <f t="shared" si="7"/>
        <v>0</v>
      </c>
      <c r="J118" s="57">
        <f t="shared" si="8"/>
        <v>0</v>
      </c>
      <c r="K118" s="20">
        <v>1000</v>
      </c>
      <c r="L118" s="50">
        <f t="shared" si="5"/>
        <v>0</v>
      </c>
      <c r="M118" s="76"/>
    </row>
    <row r="119" spans="1:13" x14ac:dyDescent="0.25">
      <c r="A119" s="33" t="s">
        <v>91</v>
      </c>
      <c r="B119" s="89" t="s">
        <v>3</v>
      </c>
      <c r="C119" s="90"/>
      <c r="D119" s="9">
        <v>0.16500000000000001</v>
      </c>
      <c r="E119" s="5">
        <v>1.2</v>
      </c>
      <c r="F119" s="10">
        <f t="shared" si="6"/>
        <v>0.19800000000000001</v>
      </c>
      <c r="G119" s="21">
        <v>9.3500000000000103</v>
      </c>
      <c r="H119" s="5">
        <v>0</v>
      </c>
      <c r="I119" s="8">
        <f t="shared" si="7"/>
        <v>0</v>
      </c>
      <c r="J119" s="57">
        <f t="shared" si="8"/>
        <v>0</v>
      </c>
      <c r="K119" s="20">
        <v>1000</v>
      </c>
      <c r="L119" s="50">
        <f t="shared" si="5"/>
        <v>0</v>
      </c>
      <c r="M119" s="76"/>
    </row>
    <row r="120" spans="1:13" x14ac:dyDescent="0.25">
      <c r="A120" s="33" t="s">
        <v>92</v>
      </c>
      <c r="B120" s="82" t="s">
        <v>3</v>
      </c>
      <c r="C120" s="83"/>
      <c r="D120" s="9">
        <v>0.16</v>
      </c>
      <c r="E120" s="5">
        <v>1.2</v>
      </c>
      <c r="F120" s="10">
        <f t="shared" si="6"/>
        <v>0.192</v>
      </c>
      <c r="G120" s="21">
        <v>9.0666666666666753</v>
      </c>
      <c r="H120" s="5">
        <v>0</v>
      </c>
      <c r="I120" s="8">
        <f t="shared" si="7"/>
        <v>0</v>
      </c>
      <c r="J120" s="57">
        <f t="shared" si="8"/>
        <v>0</v>
      </c>
      <c r="K120" s="20">
        <v>1000</v>
      </c>
      <c r="L120" s="50">
        <f t="shared" si="5"/>
        <v>0</v>
      </c>
      <c r="M120" s="76"/>
    </row>
    <row r="121" spans="1:13" x14ac:dyDescent="0.25">
      <c r="A121" s="33" t="s">
        <v>93</v>
      </c>
      <c r="B121" s="89" t="s">
        <v>3</v>
      </c>
      <c r="C121" s="90"/>
      <c r="D121" s="9">
        <v>0.155</v>
      </c>
      <c r="E121" s="5">
        <v>1.2</v>
      </c>
      <c r="F121" s="10">
        <f t="shared" si="6"/>
        <v>0.186</v>
      </c>
      <c r="G121" s="21">
        <v>8.7833333333333421</v>
      </c>
      <c r="H121" s="5">
        <v>0</v>
      </c>
      <c r="I121" s="8">
        <f t="shared" si="7"/>
        <v>0</v>
      </c>
      <c r="J121" s="57">
        <f t="shared" si="8"/>
        <v>0</v>
      </c>
      <c r="K121" s="20">
        <v>1000</v>
      </c>
      <c r="L121" s="50">
        <f>$F121*$H121*$K121</f>
        <v>0</v>
      </c>
      <c r="M121" s="76"/>
    </row>
    <row r="122" spans="1:13" x14ac:dyDescent="0.25">
      <c r="A122" s="34" t="s">
        <v>94</v>
      </c>
      <c r="B122" s="89" t="s">
        <v>3</v>
      </c>
      <c r="C122" s="90"/>
      <c r="D122" s="9">
        <v>0.15</v>
      </c>
      <c r="E122" s="5">
        <v>1.2</v>
      </c>
      <c r="F122" s="10">
        <f t="shared" si="6"/>
        <v>0.18</v>
      </c>
      <c r="G122" s="21">
        <v>8.5000000000000089</v>
      </c>
      <c r="H122" s="5">
        <v>0</v>
      </c>
      <c r="I122" s="8">
        <f t="shared" si="7"/>
        <v>0</v>
      </c>
      <c r="J122" s="57">
        <f t="shared" si="8"/>
        <v>0</v>
      </c>
      <c r="K122" s="20">
        <v>1000</v>
      </c>
      <c r="L122" s="50">
        <f t="shared" si="5"/>
        <v>0</v>
      </c>
      <c r="M122" s="76"/>
    </row>
    <row r="123" spans="1:13" x14ac:dyDescent="0.25">
      <c r="A123" s="33" t="s">
        <v>95</v>
      </c>
      <c r="B123" s="89" t="s">
        <v>3</v>
      </c>
      <c r="C123" s="90"/>
      <c r="D123" s="9">
        <v>0.14499999999999999</v>
      </c>
      <c r="E123" s="5">
        <v>1.2</v>
      </c>
      <c r="F123" s="10">
        <f t="shared" si="6"/>
        <v>0.17399999999999999</v>
      </c>
      <c r="G123" s="21">
        <v>8.2166666666666757</v>
      </c>
      <c r="H123" s="5">
        <v>0</v>
      </c>
      <c r="I123" s="8">
        <f t="shared" si="7"/>
        <v>0</v>
      </c>
      <c r="J123" s="57">
        <f t="shared" si="8"/>
        <v>0</v>
      </c>
      <c r="K123" s="20">
        <v>1000</v>
      </c>
      <c r="L123" s="50">
        <f t="shared" si="5"/>
        <v>0</v>
      </c>
      <c r="M123" s="76"/>
    </row>
    <row r="124" spans="1:13" x14ac:dyDescent="0.25">
      <c r="A124" s="33" t="s">
        <v>96</v>
      </c>
      <c r="B124" s="89" t="s">
        <v>3</v>
      </c>
      <c r="C124" s="90"/>
      <c r="D124" s="9">
        <v>0.14000000000000001</v>
      </c>
      <c r="E124" s="5">
        <v>1.2</v>
      </c>
      <c r="F124" s="10">
        <f t="shared" si="6"/>
        <v>0.16800000000000001</v>
      </c>
      <c r="G124" s="21">
        <v>7.9333333333333433</v>
      </c>
      <c r="H124" s="5">
        <v>0</v>
      </c>
      <c r="I124" s="8">
        <f t="shared" si="7"/>
        <v>0</v>
      </c>
      <c r="J124" s="57">
        <f t="shared" si="8"/>
        <v>0</v>
      </c>
      <c r="K124" s="20">
        <v>1000</v>
      </c>
      <c r="L124" s="50">
        <f t="shared" ref="L124:L142" si="9">$F124*$H124*$K124</f>
        <v>0</v>
      </c>
      <c r="M124" s="76"/>
    </row>
    <row r="125" spans="1:13" x14ac:dyDescent="0.25">
      <c r="A125" s="33" t="s">
        <v>97</v>
      </c>
      <c r="B125" s="89" t="s">
        <v>3</v>
      </c>
      <c r="C125" s="90"/>
      <c r="D125" s="9">
        <v>0.13500000000000001</v>
      </c>
      <c r="E125" s="5">
        <v>1.2</v>
      </c>
      <c r="F125" s="10">
        <f t="shared" si="6"/>
        <v>0.16200000000000001</v>
      </c>
      <c r="G125" s="21">
        <v>7.6500000000000092</v>
      </c>
      <c r="H125" s="5">
        <v>0</v>
      </c>
      <c r="I125" s="8">
        <f t="shared" si="7"/>
        <v>0</v>
      </c>
      <c r="J125" s="57">
        <f t="shared" si="8"/>
        <v>0</v>
      </c>
      <c r="K125" s="20">
        <v>1000</v>
      </c>
      <c r="L125" s="50">
        <f t="shared" si="9"/>
        <v>0</v>
      </c>
      <c r="M125" s="76"/>
    </row>
    <row r="126" spans="1:13" x14ac:dyDescent="0.25">
      <c r="A126" s="33" t="s">
        <v>98</v>
      </c>
      <c r="B126" s="89" t="s">
        <v>3</v>
      </c>
      <c r="C126" s="90"/>
      <c r="D126" s="9">
        <v>0.13</v>
      </c>
      <c r="E126" s="5">
        <v>1.2</v>
      </c>
      <c r="F126" s="10">
        <f t="shared" si="6"/>
        <v>0.156</v>
      </c>
      <c r="G126" s="21">
        <v>7.3666666666666751</v>
      </c>
      <c r="H126" s="5">
        <v>0</v>
      </c>
      <c r="I126" s="8">
        <f t="shared" si="7"/>
        <v>0</v>
      </c>
      <c r="J126" s="57">
        <f t="shared" si="8"/>
        <v>0</v>
      </c>
      <c r="K126" s="20">
        <v>1000</v>
      </c>
      <c r="L126" s="50">
        <f t="shared" si="9"/>
        <v>0</v>
      </c>
      <c r="M126" s="76"/>
    </row>
    <row r="127" spans="1:13" x14ac:dyDescent="0.25">
      <c r="A127" s="34" t="s">
        <v>99</v>
      </c>
      <c r="B127" s="82" t="s">
        <v>3</v>
      </c>
      <c r="C127" s="83"/>
      <c r="D127" s="9">
        <v>0.125</v>
      </c>
      <c r="E127" s="5">
        <v>1.2</v>
      </c>
      <c r="F127" s="10">
        <f t="shared" si="6"/>
        <v>0.15</v>
      </c>
      <c r="G127" s="21">
        <v>7.0833333333333419</v>
      </c>
      <c r="H127" s="5">
        <v>0</v>
      </c>
      <c r="I127" s="8">
        <f t="shared" si="7"/>
        <v>0</v>
      </c>
      <c r="J127" s="57">
        <f t="shared" si="8"/>
        <v>0</v>
      </c>
      <c r="K127" s="20">
        <v>1000</v>
      </c>
      <c r="L127" s="50">
        <f t="shared" si="9"/>
        <v>0</v>
      </c>
      <c r="M127" s="76"/>
    </row>
    <row r="128" spans="1:13" x14ac:dyDescent="0.25">
      <c r="A128" s="33" t="s">
        <v>100</v>
      </c>
      <c r="B128" s="89" t="s">
        <v>3</v>
      </c>
      <c r="C128" s="90"/>
      <c r="D128" s="9">
        <v>0.12</v>
      </c>
      <c r="E128" s="5">
        <v>1.2</v>
      </c>
      <c r="F128" s="10">
        <f t="shared" si="6"/>
        <v>0.14399999999999999</v>
      </c>
      <c r="G128" s="21">
        <v>6.8000000000000078</v>
      </c>
      <c r="H128" s="5">
        <v>0</v>
      </c>
      <c r="I128" s="8">
        <f t="shared" si="7"/>
        <v>0</v>
      </c>
      <c r="J128" s="57">
        <f t="shared" si="8"/>
        <v>0</v>
      </c>
      <c r="K128" s="20">
        <v>1000</v>
      </c>
      <c r="L128" s="50">
        <f t="shared" si="9"/>
        <v>0</v>
      </c>
      <c r="M128" s="76"/>
    </row>
    <row r="129" spans="1:15" x14ac:dyDescent="0.25">
      <c r="A129" s="33" t="s">
        <v>101</v>
      </c>
      <c r="B129" s="82" t="s">
        <v>3</v>
      </c>
      <c r="C129" s="83"/>
      <c r="D129" s="9">
        <v>0.115</v>
      </c>
      <c r="E129" s="5">
        <v>1.2</v>
      </c>
      <c r="F129" s="10">
        <f t="shared" si="6"/>
        <v>0.13800000000000001</v>
      </c>
      <c r="G129" s="21">
        <v>6.5166666666666746</v>
      </c>
      <c r="H129" s="5">
        <v>0</v>
      </c>
      <c r="I129" s="8">
        <f t="shared" si="7"/>
        <v>0</v>
      </c>
      <c r="J129" s="57">
        <f t="shared" si="8"/>
        <v>0</v>
      </c>
      <c r="K129" s="20">
        <v>1000</v>
      </c>
      <c r="L129" s="50">
        <f t="shared" si="9"/>
        <v>0</v>
      </c>
      <c r="M129" s="76"/>
    </row>
    <row r="130" spans="1:15" x14ac:dyDescent="0.25">
      <c r="A130" s="33" t="s">
        <v>102</v>
      </c>
      <c r="B130" s="82" t="s">
        <v>3</v>
      </c>
      <c r="C130" s="83"/>
      <c r="D130" s="9">
        <v>0.11</v>
      </c>
      <c r="E130" s="5">
        <v>1.2</v>
      </c>
      <c r="F130" s="10">
        <f t="shared" si="6"/>
        <v>0.13200000000000001</v>
      </c>
      <c r="G130" s="21">
        <v>6.2333333333333405</v>
      </c>
      <c r="H130" s="5">
        <v>0</v>
      </c>
      <c r="I130" s="8">
        <f t="shared" si="7"/>
        <v>0</v>
      </c>
      <c r="J130" s="57">
        <f t="shared" si="8"/>
        <v>0</v>
      </c>
      <c r="K130" s="20">
        <v>1000</v>
      </c>
      <c r="L130" s="50">
        <f t="shared" si="9"/>
        <v>0</v>
      </c>
      <c r="M130" s="76"/>
    </row>
    <row r="131" spans="1:15" x14ac:dyDescent="0.25">
      <c r="A131" s="33" t="s">
        <v>103</v>
      </c>
      <c r="B131" s="82" t="s">
        <v>3</v>
      </c>
      <c r="C131" s="83"/>
      <c r="D131" s="9">
        <v>0.105</v>
      </c>
      <c r="E131" s="5">
        <v>1.2</v>
      </c>
      <c r="F131" s="10">
        <f t="shared" si="6"/>
        <v>0.126</v>
      </c>
      <c r="G131" s="21">
        <v>5.9500000000000064</v>
      </c>
      <c r="H131" s="5">
        <v>0</v>
      </c>
      <c r="I131" s="8">
        <f t="shared" si="7"/>
        <v>0</v>
      </c>
      <c r="J131" s="57">
        <f t="shared" si="8"/>
        <v>0</v>
      </c>
      <c r="K131" s="20">
        <v>1000</v>
      </c>
      <c r="L131" s="50">
        <f t="shared" si="9"/>
        <v>0</v>
      </c>
      <c r="M131" s="76"/>
    </row>
    <row r="132" spans="1:15" x14ac:dyDescent="0.25">
      <c r="A132" s="34" t="s">
        <v>104</v>
      </c>
      <c r="B132" s="82" t="s">
        <v>3</v>
      </c>
      <c r="C132" s="83"/>
      <c r="D132" s="9">
        <v>0.1</v>
      </c>
      <c r="E132" s="5">
        <v>1.2</v>
      </c>
      <c r="F132" s="10">
        <f t="shared" si="6"/>
        <v>0.12</v>
      </c>
      <c r="G132" s="21">
        <v>5.6666666666666723</v>
      </c>
      <c r="H132" s="5">
        <v>0</v>
      </c>
      <c r="I132" s="8">
        <f t="shared" si="7"/>
        <v>0</v>
      </c>
      <c r="J132" s="57">
        <f t="shared" si="8"/>
        <v>0</v>
      </c>
      <c r="K132" s="20">
        <v>1000</v>
      </c>
      <c r="L132" s="50">
        <f t="shared" si="9"/>
        <v>0</v>
      </c>
      <c r="M132" s="76"/>
    </row>
    <row r="133" spans="1:15" x14ac:dyDescent="0.25">
      <c r="A133" s="33" t="s">
        <v>105</v>
      </c>
      <c r="B133" s="82" t="s">
        <v>3</v>
      </c>
      <c r="C133" s="83"/>
      <c r="D133" s="9">
        <v>9.5000000000000001E-2</v>
      </c>
      <c r="E133" s="5">
        <v>1.2</v>
      </c>
      <c r="F133" s="10">
        <f t="shared" si="6"/>
        <v>0.11399999999999999</v>
      </c>
      <c r="G133" s="21">
        <v>5.3833333333333382</v>
      </c>
      <c r="H133" s="5">
        <v>0</v>
      </c>
      <c r="I133" s="8">
        <f t="shared" si="7"/>
        <v>0</v>
      </c>
      <c r="J133" s="57">
        <f t="shared" si="8"/>
        <v>0</v>
      </c>
      <c r="K133" s="20">
        <v>1000</v>
      </c>
      <c r="L133" s="50">
        <f t="shared" si="9"/>
        <v>0</v>
      </c>
      <c r="M133" s="76"/>
    </row>
    <row r="134" spans="1:15" x14ac:dyDescent="0.25">
      <c r="A134" s="33" t="s">
        <v>106</v>
      </c>
      <c r="B134" s="89" t="s">
        <v>3</v>
      </c>
      <c r="C134" s="90"/>
      <c r="D134" s="9">
        <v>0.09</v>
      </c>
      <c r="E134" s="5">
        <v>1.2</v>
      </c>
      <c r="F134" s="10">
        <f t="shared" si="6"/>
        <v>0.108</v>
      </c>
      <c r="G134" s="21">
        <v>5.100000000000005</v>
      </c>
      <c r="H134" s="5">
        <v>0</v>
      </c>
      <c r="I134" s="8">
        <f t="shared" si="7"/>
        <v>0</v>
      </c>
      <c r="J134" s="57">
        <f t="shared" si="8"/>
        <v>0</v>
      </c>
      <c r="K134" s="20">
        <v>1000</v>
      </c>
      <c r="L134" s="50">
        <f t="shared" si="9"/>
        <v>0</v>
      </c>
      <c r="M134" s="76"/>
    </row>
    <row r="135" spans="1:15" x14ac:dyDescent="0.25">
      <c r="A135" s="33" t="s">
        <v>107</v>
      </c>
      <c r="B135" s="82" t="s">
        <v>3</v>
      </c>
      <c r="C135" s="83"/>
      <c r="D135" s="9">
        <v>8.5000000000000006E-2</v>
      </c>
      <c r="E135" s="5">
        <v>1.2</v>
      </c>
      <c r="F135" s="10">
        <f t="shared" si="6"/>
        <v>0.10200000000000001</v>
      </c>
      <c r="G135" s="21">
        <v>4.8166666666666718</v>
      </c>
      <c r="H135" s="5">
        <v>0</v>
      </c>
      <c r="I135" s="8">
        <f t="shared" si="7"/>
        <v>0</v>
      </c>
      <c r="J135" s="57">
        <f t="shared" si="8"/>
        <v>0</v>
      </c>
      <c r="K135" s="20">
        <v>1000</v>
      </c>
      <c r="L135" s="50">
        <f t="shared" si="9"/>
        <v>0</v>
      </c>
      <c r="M135" s="76"/>
    </row>
    <row r="136" spans="1:15" x14ac:dyDescent="0.25">
      <c r="A136" s="33" t="s">
        <v>108</v>
      </c>
      <c r="B136" s="89" t="s">
        <v>3</v>
      </c>
      <c r="C136" s="90"/>
      <c r="D136" s="9">
        <v>0.08</v>
      </c>
      <c r="E136" s="5">
        <v>1.2</v>
      </c>
      <c r="F136" s="10">
        <f t="shared" si="6"/>
        <v>9.6000000000000002E-2</v>
      </c>
      <c r="G136" s="21">
        <v>4.5333333333333377</v>
      </c>
      <c r="H136" s="5">
        <v>0</v>
      </c>
      <c r="I136" s="8">
        <f t="shared" si="7"/>
        <v>0</v>
      </c>
      <c r="J136" s="57">
        <f t="shared" si="8"/>
        <v>0</v>
      </c>
      <c r="K136" s="20">
        <v>1000</v>
      </c>
      <c r="L136" s="50">
        <f t="shared" si="9"/>
        <v>0</v>
      </c>
      <c r="M136" s="76"/>
    </row>
    <row r="137" spans="1:15" x14ac:dyDescent="0.25">
      <c r="A137" s="34" t="s">
        <v>109</v>
      </c>
      <c r="B137" s="89" t="s">
        <v>3</v>
      </c>
      <c r="C137" s="90"/>
      <c r="D137" s="9">
        <v>7.4999999999999997E-2</v>
      </c>
      <c r="E137" s="5">
        <v>1.2</v>
      </c>
      <c r="F137" s="10">
        <f t="shared" si="6"/>
        <v>0.09</v>
      </c>
      <c r="G137" s="21">
        <v>4.2500000000000036</v>
      </c>
      <c r="H137" s="5">
        <v>0</v>
      </c>
      <c r="I137" s="8">
        <f t="shared" si="7"/>
        <v>0</v>
      </c>
      <c r="J137" s="57">
        <f t="shared" si="8"/>
        <v>0</v>
      </c>
      <c r="K137" s="20">
        <v>1000</v>
      </c>
      <c r="L137" s="50">
        <f t="shared" si="9"/>
        <v>0</v>
      </c>
      <c r="M137" s="76"/>
    </row>
    <row r="138" spans="1:15" x14ac:dyDescent="0.25">
      <c r="A138" s="33" t="s">
        <v>110</v>
      </c>
      <c r="B138" s="82" t="s">
        <v>3</v>
      </c>
      <c r="C138" s="83"/>
      <c r="D138" s="9">
        <v>7.0000000000000007E-2</v>
      </c>
      <c r="E138" s="5">
        <v>1.2</v>
      </c>
      <c r="F138" s="10">
        <f t="shared" si="6"/>
        <v>8.4000000000000005E-2</v>
      </c>
      <c r="G138" s="21">
        <v>3.9666666666666703</v>
      </c>
      <c r="H138" s="5">
        <v>0</v>
      </c>
      <c r="I138" s="8">
        <f t="shared" si="7"/>
        <v>0</v>
      </c>
      <c r="J138" s="57">
        <f t="shared" si="8"/>
        <v>0</v>
      </c>
      <c r="K138" s="20">
        <v>1000</v>
      </c>
      <c r="L138" s="50">
        <f t="shared" si="9"/>
        <v>0</v>
      </c>
      <c r="M138" s="76"/>
    </row>
    <row r="139" spans="1:15" x14ac:dyDescent="0.25">
      <c r="A139" s="33" t="s">
        <v>111</v>
      </c>
      <c r="B139" s="89" t="s">
        <v>3</v>
      </c>
      <c r="C139" s="90"/>
      <c r="D139" s="9">
        <v>6.4999999999999905E-2</v>
      </c>
      <c r="E139" s="5">
        <v>1.2</v>
      </c>
      <c r="F139" s="10">
        <f t="shared" si="6"/>
        <v>7.7999999999999889E-2</v>
      </c>
      <c r="G139" s="21">
        <v>3.6833333333333313</v>
      </c>
      <c r="H139" s="5">
        <v>0</v>
      </c>
      <c r="I139" s="8">
        <f t="shared" si="7"/>
        <v>0</v>
      </c>
      <c r="J139" s="57">
        <f t="shared" si="8"/>
        <v>0</v>
      </c>
      <c r="K139" s="20">
        <v>1000</v>
      </c>
      <c r="L139" s="50">
        <f t="shared" si="9"/>
        <v>0</v>
      </c>
      <c r="M139" s="76"/>
    </row>
    <row r="140" spans="1:15" x14ac:dyDescent="0.25">
      <c r="A140" s="33" t="s">
        <v>112</v>
      </c>
      <c r="B140" s="89" t="s">
        <v>3</v>
      </c>
      <c r="C140" s="90"/>
      <c r="D140" s="9">
        <v>5.9999999999999901E-2</v>
      </c>
      <c r="E140" s="5">
        <v>1.2</v>
      </c>
      <c r="F140" s="10">
        <f t="shared" si="6"/>
        <v>7.1999999999999884E-2</v>
      </c>
      <c r="G140" s="21">
        <v>3.3999999999999977</v>
      </c>
      <c r="H140" s="5">
        <v>0</v>
      </c>
      <c r="I140" s="8">
        <f t="shared" si="7"/>
        <v>0</v>
      </c>
      <c r="J140" s="57">
        <f t="shared" si="8"/>
        <v>0</v>
      </c>
      <c r="K140" s="20">
        <v>1000</v>
      </c>
      <c r="L140" s="50">
        <f t="shared" si="9"/>
        <v>0</v>
      </c>
      <c r="M140" s="76"/>
    </row>
    <row r="141" spans="1:15" x14ac:dyDescent="0.25">
      <c r="A141" s="33" t="s">
        <v>113</v>
      </c>
      <c r="B141" s="89" t="s">
        <v>3</v>
      </c>
      <c r="C141" s="90"/>
      <c r="D141" s="9">
        <v>5.4999999999999903E-2</v>
      </c>
      <c r="E141" s="5">
        <v>1.2</v>
      </c>
      <c r="F141" s="10">
        <f t="shared" si="6"/>
        <v>6.5999999999999878E-2</v>
      </c>
      <c r="G141" s="21">
        <v>3.116666666666664</v>
      </c>
      <c r="H141" s="5">
        <v>0</v>
      </c>
      <c r="I141" s="8">
        <f t="shared" si="7"/>
        <v>0</v>
      </c>
      <c r="J141" s="57">
        <f t="shared" si="8"/>
        <v>0</v>
      </c>
      <c r="K141" s="20">
        <v>1000</v>
      </c>
      <c r="L141" s="50">
        <f t="shared" si="9"/>
        <v>0</v>
      </c>
      <c r="M141" s="76"/>
    </row>
    <row r="142" spans="1:15" x14ac:dyDescent="0.25">
      <c r="A142" s="34" t="s">
        <v>114</v>
      </c>
      <c r="B142" s="89" t="s">
        <v>3</v>
      </c>
      <c r="C142" s="90"/>
      <c r="D142" s="9">
        <v>4.9999999999999899E-2</v>
      </c>
      <c r="E142" s="5">
        <v>1.2</v>
      </c>
      <c r="F142" s="10">
        <f t="shared" si="6"/>
        <v>5.9999999999999873E-2</v>
      </c>
      <c r="G142" s="21">
        <v>2.8333333333333299</v>
      </c>
      <c r="H142" s="5">
        <v>0</v>
      </c>
      <c r="I142" s="8">
        <f t="shared" si="7"/>
        <v>0</v>
      </c>
      <c r="J142" s="57">
        <f t="shared" si="8"/>
        <v>0</v>
      </c>
      <c r="K142" s="20">
        <v>1000</v>
      </c>
      <c r="L142" s="50">
        <f t="shared" si="9"/>
        <v>0</v>
      </c>
      <c r="M142" s="76"/>
      <c r="O142" s="73"/>
    </row>
    <row r="143" spans="1:15" x14ac:dyDescent="0.25">
      <c r="A143" s="34"/>
      <c r="B143" s="98" t="s">
        <v>2</v>
      </c>
      <c r="C143" s="99"/>
      <c r="D143" s="99"/>
      <c r="E143" s="99"/>
      <c r="F143" s="99"/>
      <c r="G143" s="100"/>
      <c r="H143" s="104">
        <f>SUM(H28:H142)</f>
        <v>0</v>
      </c>
      <c r="I143" s="105">
        <f>SUM(I28:I142)</f>
        <v>0</v>
      </c>
      <c r="J143" s="104">
        <f>SUM(J28:J142)</f>
        <v>0</v>
      </c>
      <c r="K143" s="106" t="s">
        <v>115</v>
      </c>
      <c r="L143" s="114">
        <f>SUM(L28:L142)</f>
        <v>0</v>
      </c>
      <c r="M143" s="76"/>
      <c r="O143" s="73"/>
    </row>
    <row r="144" spans="1:15" x14ac:dyDescent="0.25">
      <c r="B144" s="101"/>
      <c r="C144" s="102"/>
      <c r="D144" s="102"/>
      <c r="E144" s="102"/>
      <c r="F144" s="102"/>
      <c r="G144" s="103"/>
      <c r="H144" s="104"/>
      <c r="I144" s="105"/>
      <c r="J144" s="104"/>
      <c r="K144" s="106"/>
      <c r="L144" s="114"/>
    </row>
    <row r="146" spans="2:12" x14ac:dyDescent="0.25">
      <c r="J146" s="115" t="s">
        <v>149</v>
      </c>
      <c r="K146" s="115"/>
      <c r="L146" s="49">
        <f>L143</f>
        <v>0</v>
      </c>
    </row>
    <row r="147" spans="2:12" x14ac:dyDescent="0.25">
      <c r="J147" s="116">
        <v>0.19</v>
      </c>
      <c r="K147" s="115"/>
      <c r="L147" s="49">
        <f>L146*J147</f>
        <v>0</v>
      </c>
    </row>
    <row r="148" spans="2:12" ht="15.75" x14ac:dyDescent="0.25">
      <c r="J148" s="107" t="s">
        <v>192</v>
      </c>
      <c r="K148" s="107"/>
      <c r="L148" s="51">
        <f>L146+L147</f>
        <v>0</v>
      </c>
    </row>
    <row r="149" spans="2:12" ht="15.75" x14ac:dyDescent="0.25">
      <c r="J149" s="107" t="s">
        <v>193</v>
      </c>
      <c r="K149" s="107"/>
      <c r="L149" s="51">
        <f>L148*30</f>
        <v>0</v>
      </c>
    </row>
    <row r="150" spans="2:12" ht="15.75" x14ac:dyDescent="0.25">
      <c r="J150" s="55"/>
      <c r="L150" s="56"/>
    </row>
    <row r="151" spans="2:12" x14ac:dyDescent="0.25">
      <c r="B151" s="36" t="s">
        <v>170</v>
      </c>
      <c r="C151" s="37"/>
      <c r="D151" s="37"/>
      <c r="E151" s="38"/>
      <c r="F151" s="38"/>
      <c r="G151" s="38"/>
      <c r="H151" s="37"/>
      <c r="I151" s="37"/>
      <c r="J151" s="37"/>
    </row>
    <row r="152" spans="2:12" x14ac:dyDescent="0.25">
      <c r="B152" s="108" t="s">
        <v>137</v>
      </c>
      <c r="C152" s="108"/>
      <c r="D152" s="108"/>
      <c r="E152" s="108"/>
      <c r="F152" s="108"/>
      <c r="G152" s="16"/>
      <c r="H152" s="108" t="s">
        <v>172</v>
      </c>
      <c r="I152" s="108"/>
      <c r="J152" s="108"/>
      <c r="K152" s="108"/>
      <c r="L152" s="108"/>
    </row>
    <row r="153" spans="2:12" x14ac:dyDescent="0.25">
      <c r="B153" s="108" t="s">
        <v>138</v>
      </c>
      <c r="C153" s="108"/>
      <c r="D153" s="108"/>
      <c r="E153" s="108"/>
      <c r="F153" s="108"/>
      <c r="G153" s="16"/>
      <c r="H153" s="108" t="s">
        <v>217</v>
      </c>
      <c r="I153" s="108"/>
      <c r="J153" s="108"/>
      <c r="K153" s="108"/>
      <c r="L153" s="108"/>
    </row>
    <row r="154" spans="2:12" x14ac:dyDescent="0.25">
      <c r="B154" s="108" t="s">
        <v>139</v>
      </c>
      <c r="C154" s="108"/>
      <c r="D154" s="108"/>
      <c r="E154" s="108"/>
      <c r="F154" s="108"/>
      <c r="G154" s="16"/>
      <c r="H154" s="87" t="s">
        <v>218</v>
      </c>
      <c r="I154" s="87"/>
      <c r="J154" s="87"/>
      <c r="K154" s="87"/>
      <c r="L154" s="87"/>
    </row>
    <row r="155" spans="2:12" ht="26.25" customHeight="1" x14ac:dyDescent="0.25">
      <c r="B155" s="109" t="s">
        <v>173</v>
      </c>
      <c r="C155" s="109"/>
      <c r="D155" s="109"/>
      <c r="E155" s="109"/>
      <c r="F155" s="109"/>
      <c r="G155" s="16"/>
      <c r="H155" s="109" t="s">
        <v>223</v>
      </c>
      <c r="I155" s="109"/>
      <c r="J155" s="109"/>
      <c r="K155" s="109"/>
      <c r="L155" s="109"/>
    </row>
    <row r="156" spans="2:12" x14ac:dyDescent="0.25">
      <c r="B156" s="109" t="s">
        <v>222</v>
      </c>
      <c r="C156" s="109"/>
      <c r="D156" s="109"/>
      <c r="E156" s="109"/>
      <c r="F156" s="109"/>
      <c r="G156" s="109"/>
      <c r="H156" s="109"/>
      <c r="I156" s="109"/>
      <c r="J156" s="109"/>
    </row>
    <row r="157" spans="2:12" x14ac:dyDescent="0.25">
      <c r="B157" s="109"/>
      <c r="C157" s="109"/>
      <c r="D157" s="109"/>
      <c r="E157" s="109"/>
      <c r="F157" s="109"/>
      <c r="G157" s="109"/>
      <c r="H157" s="109"/>
      <c r="I157" s="109"/>
      <c r="J157" s="109"/>
    </row>
    <row r="158" spans="2:12" ht="13.5" customHeight="1" x14ac:dyDescent="0.25">
      <c r="B158" s="113" t="s">
        <v>216</v>
      </c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</row>
    <row r="159" spans="2:12" x14ac:dyDescent="0.25">
      <c r="B159" s="36" t="s">
        <v>171</v>
      </c>
      <c r="C159" s="37"/>
      <c r="D159" s="37"/>
      <c r="E159" s="38"/>
      <c r="F159" s="38"/>
      <c r="G159" s="38"/>
      <c r="H159" s="37"/>
      <c r="I159" s="37"/>
      <c r="J159" s="37"/>
    </row>
    <row r="160" spans="2:12" x14ac:dyDescent="0.25">
      <c r="B160" s="108" t="s">
        <v>174</v>
      </c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</row>
    <row r="161" spans="2:12" x14ac:dyDescent="0.25">
      <c r="B161" s="108" t="s">
        <v>175</v>
      </c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</row>
    <row r="162" spans="2:12" ht="15" customHeight="1" x14ac:dyDescent="0.25">
      <c r="B162" s="109" t="s">
        <v>177</v>
      </c>
      <c r="C162" s="109"/>
      <c r="D162" s="109"/>
      <c r="E162" s="109"/>
      <c r="F162" s="109"/>
      <c r="G162" s="109"/>
      <c r="H162" s="109"/>
      <c r="I162" s="109"/>
      <c r="J162" s="109"/>
      <c r="K162" s="109"/>
      <c r="L162" s="109"/>
    </row>
    <row r="163" spans="2:12" ht="15" customHeight="1" x14ac:dyDescent="0.25">
      <c r="B163" s="109" t="s">
        <v>178</v>
      </c>
      <c r="C163" s="109"/>
      <c r="D163" s="109"/>
      <c r="E163" s="109"/>
      <c r="F163" s="109"/>
      <c r="G163" s="109"/>
      <c r="H163" s="109"/>
      <c r="I163" s="109"/>
      <c r="J163" s="109"/>
      <c r="K163" s="109"/>
      <c r="L163" s="109"/>
    </row>
    <row r="164" spans="2:12" x14ac:dyDescent="0.25">
      <c r="B164" s="19" t="s">
        <v>176</v>
      </c>
      <c r="C164" s="17"/>
      <c r="D164" s="17"/>
      <c r="E164" s="16"/>
      <c r="F164" s="16"/>
      <c r="G164" s="16"/>
      <c r="H164" s="17"/>
      <c r="I164" s="17"/>
      <c r="J164" s="17"/>
    </row>
    <row r="165" spans="2:12" x14ac:dyDescent="0.25">
      <c r="B165" s="36" t="s">
        <v>154</v>
      </c>
      <c r="C165" s="37"/>
      <c r="D165" s="37"/>
      <c r="E165" s="38"/>
      <c r="F165" s="39" t="s">
        <v>115</v>
      </c>
      <c r="G165" s="38"/>
      <c r="H165" s="37"/>
      <c r="I165" s="37"/>
      <c r="J165" s="37"/>
    </row>
    <row r="166" spans="2:12" x14ac:dyDescent="0.25">
      <c r="B166" s="19" t="s">
        <v>136</v>
      </c>
      <c r="C166" s="17"/>
      <c r="D166" s="17"/>
      <c r="E166" s="17"/>
      <c r="F166" s="18" t="s">
        <v>208</v>
      </c>
      <c r="G166" s="16"/>
      <c r="H166" s="17"/>
      <c r="I166" s="17"/>
      <c r="J166" s="17"/>
    </row>
    <row r="167" spans="2:12" x14ac:dyDescent="0.25">
      <c r="B167" s="35" t="s">
        <v>115</v>
      </c>
      <c r="C167" s="17"/>
      <c r="D167" s="17"/>
      <c r="E167" s="17"/>
      <c r="F167" s="18" t="s">
        <v>209</v>
      </c>
      <c r="G167" s="16"/>
      <c r="H167" s="17"/>
      <c r="I167" s="17"/>
      <c r="J167" s="17"/>
    </row>
    <row r="169" spans="2:12" x14ac:dyDescent="0.25">
      <c r="B169" s="36" t="s">
        <v>134</v>
      </c>
      <c r="C169" s="37"/>
      <c r="D169" s="37"/>
      <c r="E169" s="38"/>
      <c r="F169" s="38"/>
      <c r="G169" s="38"/>
      <c r="H169" s="37"/>
      <c r="I169" s="37"/>
      <c r="J169" s="37"/>
    </row>
    <row r="170" spans="2:12" x14ac:dyDescent="0.25">
      <c r="B170" s="19" t="s">
        <v>155</v>
      </c>
      <c r="C170" s="17"/>
      <c r="D170" s="17"/>
      <c r="E170" s="16"/>
      <c r="F170" s="16"/>
      <c r="G170" s="16"/>
      <c r="H170" s="17"/>
      <c r="I170" s="17"/>
      <c r="J170" s="17"/>
    </row>
    <row r="171" spans="2:12" x14ac:dyDescent="0.25">
      <c r="B171" s="19" t="s">
        <v>135</v>
      </c>
      <c r="C171" s="17"/>
      <c r="D171" s="17"/>
      <c r="E171" s="16"/>
      <c r="F171" s="16"/>
      <c r="G171" s="16"/>
      <c r="H171" s="17"/>
      <c r="I171" s="17"/>
      <c r="J171" s="17"/>
    </row>
    <row r="172" spans="2:12" x14ac:dyDescent="0.25">
      <c r="B172" s="19" t="s">
        <v>142</v>
      </c>
      <c r="C172" s="17"/>
      <c r="D172" s="17"/>
      <c r="E172" s="16"/>
      <c r="F172" s="16"/>
      <c r="G172" s="16"/>
      <c r="H172" s="17"/>
      <c r="I172" s="17"/>
      <c r="J172" s="17"/>
    </row>
    <row r="173" spans="2:12" x14ac:dyDescent="0.25">
      <c r="B173" s="19" t="s">
        <v>203</v>
      </c>
      <c r="C173" s="17"/>
      <c r="D173" s="17"/>
      <c r="E173" s="16"/>
      <c r="F173" s="16"/>
      <c r="G173" s="16"/>
      <c r="H173" s="17"/>
      <c r="I173" s="17"/>
      <c r="J173" s="17"/>
    </row>
    <row r="174" spans="2:12" x14ac:dyDescent="0.25">
      <c r="B174" s="19"/>
      <c r="C174" s="17"/>
      <c r="D174" s="17"/>
      <c r="E174" s="16"/>
      <c r="F174" s="16"/>
      <c r="G174" s="16"/>
      <c r="H174" s="17"/>
      <c r="I174" s="17"/>
      <c r="J174" s="17"/>
    </row>
    <row r="175" spans="2:12" ht="15" customHeight="1" x14ac:dyDescent="0.25">
      <c r="B175" s="69" t="s">
        <v>152</v>
      </c>
      <c r="C175" s="17"/>
      <c r="D175" s="17"/>
      <c r="E175" s="16"/>
      <c r="F175" s="16"/>
      <c r="G175" s="16"/>
      <c r="H175" s="17"/>
      <c r="I175" s="17"/>
      <c r="J175" s="17"/>
    </row>
    <row r="176" spans="2:12" x14ac:dyDescent="0.25">
      <c r="B176" s="110" t="s">
        <v>180</v>
      </c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</row>
    <row r="177" spans="2:12" x14ac:dyDescent="0.25"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</row>
    <row r="178" spans="2:12" x14ac:dyDescent="0.25">
      <c r="B178" s="111" t="s">
        <v>153</v>
      </c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</row>
    <row r="179" spans="2:12" x14ac:dyDescent="0.25">
      <c r="B179" s="19"/>
      <c r="C179" s="17"/>
      <c r="D179" s="17"/>
      <c r="E179" s="16"/>
      <c r="F179" s="16"/>
      <c r="G179" s="16"/>
      <c r="H179" s="17"/>
      <c r="I179" s="17"/>
      <c r="J179" s="17"/>
    </row>
    <row r="180" spans="2:12" x14ac:dyDescent="0.25">
      <c r="B180" s="108" t="s">
        <v>140</v>
      </c>
      <c r="C180" s="108"/>
      <c r="D180" s="108"/>
      <c r="E180" s="108"/>
      <c r="F180" s="108"/>
      <c r="G180" s="108"/>
      <c r="H180" s="108"/>
      <c r="I180" s="108"/>
      <c r="J180" s="17"/>
    </row>
    <row r="181" spans="2:12" x14ac:dyDescent="0.25">
      <c r="C181" s="69"/>
      <c r="D181" s="69"/>
      <c r="E181" s="69"/>
      <c r="F181" s="69"/>
      <c r="G181" s="69"/>
      <c r="H181" s="69"/>
      <c r="I181" s="69"/>
      <c r="J181" s="69"/>
      <c r="K181" s="69"/>
      <c r="L181" s="69"/>
    </row>
    <row r="182" spans="2:12" x14ac:dyDescent="0.25">
      <c r="B182" s="19" t="s">
        <v>141</v>
      </c>
    </row>
    <row r="183" spans="2:12" x14ac:dyDescent="0.25">
      <c r="B183" s="88" t="s">
        <v>215</v>
      </c>
    </row>
    <row r="184" spans="2:12" x14ac:dyDescent="0.25">
      <c r="B184" s="81" t="s">
        <v>186</v>
      </c>
      <c r="C184" s="75"/>
      <c r="D184" s="75"/>
      <c r="E184" s="75"/>
      <c r="F184" s="75"/>
      <c r="G184" s="75"/>
      <c r="H184" s="70"/>
      <c r="I184" s="70"/>
      <c r="J184" s="70"/>
      <c r="K184" s="70"/>
      <c r="L184" s="70"/>
    </row>
  </sheetData>
  <mergeCells count="110">
    <mergeCell ref="B46:C46"/>
    <mergeCell ref="B57:C57"/>
    <mergeCell ref="B162:L162"/>
    <mergeCell ref="B163:L163"/>
    <mergeCell ref="I2:K2"/>
    <mergeCell ref="H155:L155"/>
    <mergeCell ref="B158:L158"/>
    <mergeCell ref="B160:L160"/>
    <mergeCell ref="B161:L161"/>
    <mergeCell ref="B115:C115"/>
    <mergeCell ref="B116:C116"/>
    <mergeCell ref="B117:C117"/>
    <mergeCell ref="B128:C128"/>
    <mergeCell ref="B97:C97"/>
    <mergeCell ref="B114:C114"/>
    <mergeCell ref="B113:C113"/>
    <mergeCell ref="B112:C112"/>
    <mergeCell ref="B111:C111"/>
    <mergeCell ref="B110:C110"/>
    <mergeCell ref="L143:L144"/>
    <mergeCell ref="J146:K146"/>
    <mergeCell ref="J147:K147"/>
    <mergeCell ref="B33:C33"/>
    <mergeCell ref="B32:C32"/>
    <mergeCell ref="B48:C48"/>
    <mergeCell ref="B60:C60"/>
    <mergeCell ref="B59:C59"/>
    <mergeCell ref="B58:C58"/>
    <mergeCell ref="B66:C66"/>
    <mergeCell ref="B65:C65"/>
    <mergeCell ref="B64:C64"/>
    <mergeCell ref="B63:C63"/>
    <mergeCell ref="B62:C62"/>
    <mergeCell ref="B69:C69"/>
    <mergeCell ref="B68:C68"/>
    <mergeCell ref="B67:C67"/>
    <mergeCell ref="B136:C136"/>
    <mergeCell ref="B126:C126"/>
    <mergeCell ref="B118:C118"/>
    <mergeCell ref="B119:C119"/>
    <mergeCell ref="B121:C121"/>
    <mergeCell ref="B91:C91"/>
    <mergeCell ref="B85:C85"/>
    <mergeCell ref="B72:C72"/>
    <mergeCell ref="B70:C70"/>
    <mergeCell ref="B143:G144"/>
    <mergeCell ref="H143:H144"/>
    <mergeCell ref="I143:I144"/>
    <mergeCell ref="J143:J144"/>
    <mergeCell ref="K143:K144"/>
    <mergeCell ref="J148:K148"/>
    <mergeCell ref="B180:I180"/>
    <mergeCell ref="B156:J157"/>
    <mergeCell ref="B176:L177"/>
    <mergeCell ref="B178:L178"/>
    <mergeCell ref="J149:K149"/>
    <mergeCell ref="B152:F152"/>
    <mergeCell ref="B153:F153"/>
    <mergeCell ref="B154:F154"/>
    <mergeCell ref="B155:F155"/>
    <mergeCell ref="H152:L152"/>
    <mergeCell ref="H153:L153"/>
    <mergeCell ref="B90:C90"/>
    <mergeCell ref="B25:L26"/>
    <mergeCell ref="B27:E27"/>
    <mergeCell ref="B56:C56"/>
    <mergeCell ref="B55:C55"/>
    <mergeCell ref="B54:C54"/>
    <mergeCell ref="B53:C53"/>
    <mergeCell ref="B84:C84"/>
    <mergeCell ref="B71:C71"/>
    <mergeCell ref="B86:C86"/>
    <mergeCell ref="B87:C87"/>
    <mergeCell ref="B88:C88"/>
    <mergeCell ref="B89:C89"/>
    <mergeCell ref="B37:C37"/>
    <mergeCell ref="B36:C36"/>
    <mergeCell ref="B35:C35"/>
    <mergeCell ref="B34:C34"/>
    <mergeCell ref="B52:C52"/>
    <mergeCell ref="B51:C51"/>
    <mergeCell ref="B50:C50"/>
    <mergeCell ref="B49:C49"/>
    <mergeCell ref="B45:C45"/>
    <mergeCell ref="B42:C42"/>
    <mergeCell ref="B61:C61"/>
    <mergeCell ref="B47:C47"/>
    <mergeCell ref="B41:C41"/>
    <mergeCell ref="B40:C40"/>
    <mergeCell ref="B39:C39"/>
    <mergeCell ref="B38:C38"/>
    <mergeCell ref="B142:C142"/>
    <mergeCell ref="B79:C79"/>
    <mergeCell ref="B80:C80"/>
    <mergeCell ref="B81:C81"/>
    <mergeCell ref="B83:C83"/>
    <mergeCell ref="B92:C92"/>
    <mergeCell ref="B93:C93"/>
    <mergeCell ref="B134:C134"/>
    <mergeCell ref="B137:C137"/>
    <mergeCell ref="B122:C122"/>
    <mergeCell ref="B123:C123"/>
    <mergeCell ref="B124:C124"/>
    <mergeCell ref="B125:C125"/>
    <mergeCell ref="B141:C141"/>
    <mergeCell ref="B140:C140"/>
    <mergeCell ref="B139:C139"/>
    <mergeCell ref="B82:C82"/>
    <mergeCell ref="B95:C95"/>
    <mergeCell ref="B96:C96"/>
  </mergeCells>
  <hyperlinks>
    <hyperlink ref="B183" r:id="rId1" xr:uid="{601DF321-7471-493A-A18D-DCE0866FE97C}"/>
  </hyperlinks>
  <printOptions horizontalCentered="1"/>
  <pageMargins left="0.70866141732283472" right="0.70866141732283472" top="1.9685039370078741" bottom="0.74803149606299213" header="0.31496062992125984" footer="0.31496062992125984"/>
  <pageSetup scale="70" orientation="portrait" r:id="rId2"/>
  <headerFooter>
    <oddHeader>&amp;C&amp;G</oddHeader>
  </headerFooter>
  <rowBreaks count="2" manualBreakCount="2">
    <brk id="115" min="1" max="11" man="1"/>
    <brk id="149" min="1" max="11" man="1"/>
  </rowBreaks>
  <legacy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1"/>
  <sheetViews>
    <sheetView topLeftCell="A105" zoomScaleNormal="100" workbookViewId="0">
      <selection activeCell="J149" sqref="J149"/>
    </sheetView>
  </sheetViews>
  <sheetFormatPr baseColWidth="10" defaultRowHeight="15" x14ac:dyDescent="0.25"/>
  <cols>
    <col min="1" max="2" width="12.42578125" customWidth="1"/>
    <col min="3" max="3" width="10.5703125" customWidth="1"/>
    <col min="4" max="5" width="8.7109375" customWidth="1"/>
    <col min="6" max="6" width="10.7109375" customWidth="1"/>
    <col min="7" max="8" width="20.7109375" customWidth="1"/>
  </cols>
  <sheetData>
    <row r="1" spans="1:8" x14ac:dyDescent="0.25">
      <c r="C1" s="2"/>
      <c r="D1" s="2"/>
      <c r="E1" s="2"/>
      <c r="F1" s="2"/>
      <c r="G1" s="2"/>
      <c r="H1" s="2"/>
    </row>
    <row r="2" spans="1:8" x14ac:dyDescent="0.25">
      <c r="B2" s="132"/>
      <c r="C2" s="132"/>
      <c r="D2" s="132"/>
      <c r="E2" s="132"/>
      <c r="F2" s="132"/>
      <c r="G2" s="132"/>
      <c r="H2" s="132"/>
    </row>
    <row r="3" spans="1:8" x14ac:dyDescent="0.25">
      <c r="B3" s="132"/>
      <c r="C3" s="132"/>
      <c r="D3" s="132"/>
      <c r="E3" s="132"/>
      <c r="F3" s="132"/>
      <c r="G3" s="132"/>
      <c r="H3" s="132"/>
    </row>
    <row r="4" spans="1:8" x14ac:dyDescent="0.25">
      <c r="B4" s="132"/>
      <c r="C4" s="132"/>
      <c r="D4" s="132"/>
      <c r="E4" s="132"/>
      <c r="F4" s="132"/>
      <c r="G4" s="132"/>
      <c r="H4" s="132"/>
    </row>
    <row r="5" spans="1:8" x14ac:dyDescent="0.25">
      <c r="B5" s="132"/>
      <c r="C5" s="132"/>
      <c r="D5" s="132"/>
      <c r="E5" s="132"/>
      <c r="F5" s="132"/>
      <c r="G5" s="132"/>
      <c r="H5" s="132"/>
    </row>
    <row r="6" spans="1:8" x14ac:dyDescent="0.25">
      <c r="B6" s="132"/>
      <c r="C6" s="132"/>
      <c r="D6" s="132"/>
      <c r="E6" s="132"/>
      <c r="F6" s="132"/>
      <c r="G6" s="132"/>
      <c r="H6" s="132"/>
    </row>
    <row r="7" spans="1:8" x14ac:dyDescent="0.25">
      <c r="B7" s="132"/>
      <c r="C7" s="132"/>
      <c r="D7" s="132"/>
      <c r="E7" s="132"/>
      <c r="F7" s="132"/>
      <c r="G7" s="132"/>
      <c r="H7" s="132"/>
    </row>
    <row r="8" spans="1:8" x14ac:dyDescent="0.25">
      <c r="B8" s="132"/>
      <c r="C8" s="132"/>
      <c r="D8" s="132"/>
      <c r="E8" s="132"/>
      <c r="F8" s="132"/>
      <c r="G8" s="132"/>
      <c r="H8" s="132"/>
    </row>
    <row r="9" spans="1:8" x14ac:dyDescent="0.25">
      <c r="B9" s="132"/>
      <c r="C9" s="132"/>
      <c r="D9" s="132"/>
      <c r="E9" s="132"/>
      <c r="F9" s="132"/>
      <c r="G9" s="132"/>
      <c r="H9" s="132"/>
    </row>
    <row r="10" spans="1:8" x14ac:dyDescent="0.25">
      <c r="C10" s="2"/>
      <c r="D10" s="2"/>
      <c r="E10" s="2"/>
      <c r="F10" s="2"/>
      <c r="G10" s="2"/>
      <c r="H10" s="2"/>
    </row>
    <row r="11" spans="1:8" x14ac:dyDescent="0.25">
      <c r="C11" s="2"/>
      <c r="D11" s="2"/>
      <c r="E11" s="2"/>
      <c r="F11" s="2"/>
      <c r="G11" s="2"/>
      <c r="H11" s="2"/>
    </row>
    <row r="12" spans="1:8" x14ac:dyDescent="0.25">
      <c r="B12" s="134" t="s">
        <v>0</v>
      </c>
      <c r="C12" s="134"/>
      <c r="D12" s="134"/>
      <c r="E12" s="134"/>
      <c r="F12" s="58" t="s">
        <v>1</v>
      </c>
      <c r="G12" s="59" t="s">
        <v>132</v>
      </c>
      <c r="H12" s="60" t="s">
        <v>116</v>
      </c>
    </row>
    <row r="13" spans="1:8" ht="6" customHeight="1" x14ac:dyDescent="0.25">
      <c r="C13" s="6"/>
      <c r="D13" s="6"/>
      <c r="E13" s="6"/>
      <c r="F13" s="7"/>
      <c r="G13" s="6"/>
      <c r="H13" s="7"/>
    </row>
    <row r="14" spans="1:8" x14ac:dyDescent="0.25">
      <c r="A14" s="3" t="s">
        <v>120</v>
      </c>
      <c r="B14" s="41" t="s">
        <v>119</v>
      </c>
      <c r="C14" s="5">
        <v>0.15</v>
      </c>
      <c r="D14" s="9">
        <v>0.15</v>
      </c>
      <c r="E14" s="8">
        <v>1.2</v>
      </c>
      <c r="F14" s="63">
        <v>1</v>
      </c>
      <c r="G14" s="10">
        <f t="shared" ref="G14:G45" si="0">$D14*$E14</f>
        <v>0.18</v>
      </c>
      <c r="H14" s="22">
        <v>26</v>
      </c>
    </row>
    <row r="15" spans="1:8" x14ac:dyDescent="0.25">
      <c r="A15" s="3" t="s">
        <v>120</v>
      </c>
      <c r="B15" s="41" t="s">
        <v>119</v>
      </c>
      <c r="C15" s="8">
        <v>0.1</v>
      </c>
      <c r="D15" s="9">
        <v>0.1</v>
      </c>
      <c r="E15" s="8">
        <v>1.2</v>
      </c>
      <c r="F15" s="63">
        <v>1</v>
      </c>
      <c r="G15" s="10">
        <f t="shared" si="0"/>
        <v>0.12</v>
      </c>
      <c r="H15" s="22">
        <f>$G15*$H14/$G14</f>
        <v>17.333333333333336</v>
      </c>
    </row>
    <row r="16" spans="1:8" x14ac:dyDescent="0.25">
      <c r="A16" s="3" t="s">
        <v>4</v>
      </c>
      <c r="B16" s="133" t="s">
        <v>3</v>
      </c>
      <c r="C16" s="133"/>
      <c r="D16" s="9">
        <v>0.6</v>
      </c>
      <c r="E16" s="8">
        <v>1.2</v>
      </c>
      <c r="F16" s="63">
        <v>1</v>
      </c>
      <c r="G16" s="10">
        <f t="shared" si="0"/>
        <v>0.72</v>
      </c>
      <c r="H16" s="22">
        <v>34</v>
      </c>
    </row>
    <row r="17" spans="1:8" x14ac:dyDescent="0.25">
      <c r="A17" s="4" t="s">
        <v>5</v>
      </c>
      <c r="B17" s="133" t="s">
        <v>3</v>
      </c>
      <c r="C17" s="133"/>
      <c r="D17" s="9">
        <v>0.59499999999999997</v>
      </c>
      <c r="E17" s="8">
        <v>1.2</v>
      </c>
      <c r="F17" s="63">
        <v>1</v>
      </c>
      <c r="G17" s="10">
        <f t="shared" si="0"/>
        <v>0.71399999999999997</v>
      </c>
      <c r="H17" s="22">
        <f t="shared" ref="H17:H80" si="1">$G17*$H16/$G16</f>
        <v>33.716666666666669</v>
      </c>
    </row>
    <row r="18" spans="1:8" x14ac:dyDescent="0.25">
      <c r="A18" s="4" t="s">
        <v>6</v>
      </c>
      <c r="B18" s="133" t="s">
        <v>3</v>
      </c>
      <c r="C18" s="133"/>
      <c r="D18" s="9">
        <v>0.59</v>
      </c>
      <c r="E18" s="8">
        <v>1.2</v>
      </c>
      <c r="F18" s="63">
        <v>1</v>
      </c>
      <c r="G18" s="10">
        <f t="shared" si="0"/>
        <v>0.70799999999999996</v>
      </c>
      <c r="H18" s="22">
        <f t="shared" si="1"/>
        <v>33.433333333333337</v>
      </c>
    </row>
    <row r="19" spans="1:8" x14ac:dyDescent="0.25">
      <c r="A19" s="4" t="s">
        <v>7</v>
      </c>
      <c r="B19" s="133" t="s">
        <v>3</v>
      </c>
      <c r="C19" s="133"/>
      <c r="D19" s="9">
        <v>0.58499999999999996</v>
      </c>
      <c r="E19" s="8">
        <v>1.2</v>
      </c>
      <c r="F19" s="63">
        <v>1</v>
      </c>
      <c r="G19" s="10">
        <f t="shared" si="0"/>
        <v>0.70199999999999996</v>
      </c>
      <c r="H19" s="22">
        <f t="shared" si="1"/>
        <v>33.150000000000006</v>
      </c>
    </row>
    <row r="20" spans="1:8" x14ac:dyDescent="0.25">
      <c r="A20" s="4" t="s">
        <v>8</v>
      </c>
      <c r="B20" s="133" t="s">
        <v>3</v>
      </c>
      <c r="C20" s="133"/>
      <c r="D20" s="9">
        <v>0.57999999999999996</v>
      </c>
      <c r="E20" s="8">
        <v>1.2</v>
      </c>
      <c r="F20" s="63">
        <v>1</v>
      </c>
      <c r="G20" s="10">
        <f t="shared" si="0"/>
        <v>0.69599999999999995</v>
      </c>
      <c r="H20" s="22">
        <f t="shared" si="1"/>
        <v>32.866666666666674</v>
      </c>
    </row>
    <row r="21" spans="1:8" x14ac:dyDescent="0.25">
      <c r="A21" s="3" t="s">
        <v>9</v>
      </c>
      <c r="B21" s="133" t="s">
        <v>3</v>
      </c>
      <c r="C21" s="133"/>
      <c r="D21" s="9">
        <v>0.57499999999999996</v>
      </c>
      <c r="E21" s="8">
        <v>1.2</v>
      </c>
      <c r="F21" s="63">
        <v>1</v>
      </c>
      <c r="G21" s="10">
        <f t="shared" si="0"/>
        <v>0.69</v>
      </c>
      <c r="H21" s="22">
        <f t="shared" si="1"/>
        <v>32.583333333333343</v>
      </c>
    </row>
    <row r="22" spans="1:8" x14ac:dyDescent="0.25">
      <c r="A22" s="4" t="s">
        <v>10</v>
      </c>
      <c r="B22" s="133" t="s">
        <v>3</v>
      </c>
      <c r="C22" s="133"/>
      <c r="D22" s="9">
        <v>0.56999999999999995</v>
      </c>
      <c r="E22" s="8">
        <v>1.2</v>
      </c>
      <c r="F22" s="63">
        <v>1</v>
      </c>
      <c r="G22" s="10">
        <f t="shared" si="0"/>
        <v>0.68399999999999994</v>
      </c>
      <c r="H22" s="22">
        <f t="shared" si="1"/>
        <v>32.300000000000011</v>
      </c>
    </row>
    <row r="23" spans="1:8" x14ac:dyDescent="0.25">
      <c r="A23" s="4" t="s">
        <v>11</v>
      </c>
      <c r="B23" s="133" t="s">
        <v>3</v>
      </c>
      <c r="C23" s="133"/>
      <c r="D23" s="9">
        <v>0.56499999999999995</v>
      </c>
      <c r="E23" s="8">
        <v>1.2</v>
      </c>
      <c r="F23" s="63">
        <v>1</v>
      </c>
      <c r="G23" s="10">
        <f t="shared" si="0"/>
        <v>0.67799999999999994</v>
      </c>
      <c r="H23" s="22">
        <f t="shared" si="1"/>
        <v>32.01666666666668</v>
      </c>
    </row>
    <row r="24" spans="1:8" x14ac:dyDescent="0.25">
      <c r="A24" s="4" t="s">
        <v>12</v>
      </c>
      <c r="B24" s="133" t="s">
        <v>3</v>
      </c>
      <c r="C24" s="133"/>
      <c r="D24" s="9">
        <v>0.56000000000000005</v>
      </c>
      <c r="E24" s="8">
        <v>1.2</v>
      </c>
      <c r="F24" s="63">
        <v>1</v>
      </c>
      <c r="G24" s="10">
        <f t="shared" si="0"/>
        <v>0.67200000000000004</v>
      </c>
      <c r="H24" s="22">
        <f t="shared" si="1"/>
        <v>31.733333333333352</v>
      </c>
    </row>
    <row r="25" spans="1:8" x14ac:dyDescent="0.25">
      <c r="A25" s="4" t="s">
        <v>13</v>
      </c>
      <c r="B25" s="133" t="s">
        <v>3</v>
      </c>
      <c r="C25" s="133"/>
      <c r="D25" s="9">
        <v>0.55500000000000005</v>
      </c>
      <c r="E25" s="8">
        <v>1.2</v>
      </c>
      <c r="F25" s="63">
        <v>1</v>
      </c>
      <c r="G25" s="10">
        <f t="shared" si="0"/>
        <v>0.66600000000000004</v>
      </c>
      <c r="H25" s="22">
        <f t="shared" si="1"/>
        <v>31.450000000000017</v>
      </c>
    </row>
    <row r="26" spans="1:8" x14ac:dyDescent="0.25">
      <c r="A26" s="3" t="s">
        <v>14</v>
      </c>
      <c r="B26" s="133" t="s">
        <v>3</v>
      </c>
      <c r="C26" s="133"/>
      <c r="D26" s="9">
        <v>0.55000000000000004</v>
      </c>
      <c r="E26" s="8">
        <v>1.2</v>
      </c>
      <c r="F26" s="63">
        <v>1</v>
      </c>
      <c r="G26" s="10">
        <f t="shared" si="0"/>
        <v>0.66</v>
      </c>
      <c r="H26" s="22">
        <f t="shared" si="1"/>
        <v>31.166666666666682</v>
      </c>
    </row>
    <row r="27" spans="1:8" x14ac:dyDescent="0.25">
      <c r="A27" s="4" t="s">
        <v>15</v>
      </c>
      <c r="B27" s="133" t="s">
        <v>3</v>
      </c>
      <c r="C27" s="133"/>
      <c r="D27" s="9">
        <v>0.54500000000000004</v>
      </c>
      <c r="E27" s="8">
        <v>1.2</v>
      </c>
      <c r="F27" s="63">
        <v>1</v>
      </c>
      <c r="G27" s="10">
        <f t="shared" si="0"/>
        <v>0.65400000000000003</v>
      </c>
      <c r="H27" s="22">
        <f t="shared" si="1"/>
        <v>30.883333333333347</v>
      </c>
    </row>
    <row r="28" spans="1:8" x14ac:dyDescent="0.25">
      <c r="A28" s="4" t="s">
        <v>16</v>
      </c>
      <c r="B28" s="133" t="s">
        <v>3</v>
      </c>
      <c r="C28" s="133"/>
      <c r="D28" s="9">
        <v>0.54</v>
      </c>
      <c r="E28" s="8">
        <v>1.2</v>
      </c>
      <c r="F28" s="63">
        <v>1</v>
      </c>
      <c r="G28" s="10">
        <f t="shared" si="0"/>
        <v>0.64800000000000002</v>
      </c>
      <c r="H28" s="22">
        <f t="shared" si="1"/>
        <v>30.600000000000016</v>
      </c>
    </row>
    <row r="29" spans="1:8" x14ac:dyDescent="0.25">
      <c r="A29" s="4" t="s">
        <v>17</v>
      </c>
      <c r="B29" s="133" t="s">
        <v>3</v>
      </c>
      <c r="C29" s="133"/>
      <c r="D29" s="9">
        <v>0.53500000000000003</v>
      </c>
      <c r="E29" s="8">
        <v>1.2</v>
      </c>
      <c r="F29" s="63">
        <v>1</v>
      </c>
      <c r="G29" s="10">
        <f t="shared" si="0"/>
        <v>0.64200000000000002</v>
      </c>
      <c r="H29" s="22">
        <f t="shared" si="1"/>
        <v>30.316666666666681</v>
      </c>
    </row>
    <row r="30" spans="1:8" x14ac:dyDescent="0.25">
      <c r="A30" s="4" t="s">
        <v>18</v>
      </c>
      <c r="B30" s="133" t="s">
        <v>3</v>
      </c>
      <c r="C30" s="133"/>
      <c r="D30" s="9">
        <v>0.53</v>
      </c>
      <c r="E30" s="8">
        <v>1.2</v>
      </c>
      <c r="F30" s="63">
        <v>1</v>
      </c>
      <c r="G30" s="10">
        <f t="shared" si="0"/>
        <v>0.63600000000000001</v>
      </c>
      <c r="H30" s="22">
        <f t="shared" si="1"/>
        <v>30.033333333333346</v>
      </c>
    </row>
    <row r="31" spans="1:8" x14ac:dyDescent="0.25">
      <c r="A31" s="3" t="s">
        <v>19</v>
      </c>
      <c r="B31" s="133" t="s">
        <v>3</v>
      </c>
      <c r="C31" s="133"/>
      <c r="D31" s="9">
        <v>0.52500000000000002</v>
      </c>
      <c r="E31" s="8">
        <v>1.2</v>
      </c>
      <c r="F31" s="63">
        <v>1</v>
      </c>
      <c r="G31" s="10">
        <f t="shared" si="0"/>
        <v>0.63</v>
      </c>
      <c r="H31" s="22">
        <f t="shared" si="1"/>
        <v>29.750000000000011</v>
      </c>
    </row>
    <row r="32" spans="1:8" x14ac:dyDescent="0.25">
      <c r="A32" s="4" t="s">
        <v>20</v>
      </c>
      <c r="B32" s="133" t="s">
        <v>3</v>
      </c>
      <c r="C32" s="133"/>
      <c r="D32" s="9">
        <v>0.52</v>
      </c>
      <c r="E32" s="8">
        <v>1.2</v>
      </c>
      <c r="F32" s="63">
        <v>1</v>
      </c>
      <c r="G32" s="10">
        <f t="shared" si="0"/>
        <v>0.624</v>
      </c>
      <c r="H32" s="22">
        <f t="shared" si="1"/>
        <v>29.466666666666679</v>
      </c>
    </row>
    <row r="33" spans="1:8" x14ac:dyDescent="0.25">
      <c r="A33" s="4" t="s">
        <v>21</v>
      </c>
      <c r="B33" s="133" t="s">
        <v>3</v>
      </c>
      <c r="C33" s="133"/>
      <c r="D33" s="9">
        <v>0.51500000000000001</v>
      </c>
      <c r="E33" s="8">
        <v>1.2</v>
      </c>
      <c r="F33" s="63">
        <v>1</v>
      </c>
      <c r="G33" s="10">
        <f t="shared" si="0"/>
        <v>0.61799999999999999</v>
      </c>
      <c r="H33" s="22">
        <f t="shared" si="1"/>
        <v>29.183333333333344</v>
      </c>
    </row>
    <row r="34" spans="1:8" x14ac:dyDescent="0.25">
      <c r="A34" s="4" t="s">
        <v>22</v>
      </c>
      <c r="B34" s="133" t="s">
        <v>3</v>
      </c>
      <c r="C34" s="133"/>
      <c r="D34" s="9">
        <v>0.51</v>
      </c>
      <c r="E34" s="8">
        <v>1.2</v>
      </c>
      <c r="F34" s="63">
        <v>1</v>
      </c>
      <c r="G34" s="10">
        <f t="shared" si="0"/>
        <v>0.61199999999999999</v>
      </c>
      <c r="H34" s="22">
        <f t="shared" si="1"/>
        <v>28.900000000000009</v>
      </c>
    </row>
    <row r="35" spans="1:8" x14ac:dyDescent="0.25">
      <c r="A35" s="4" t="s">
        <v>23</v>
      </c>
      <c r="B35" s="133" t="s">
        <v>3</v>
      </c>
      <c r="C35" s="133"/>
      <c r="D35" s="9">
        <v>0.505</v>
      </c>
      <c r="E35" s="8">
        <v>1.2</v>
      </c>
      <c r="F35" s="63">
        <v>1</v>
      </c>
      <c r="G35" s="10">
        <f t="shared" si="0"/>
        <v>0.60599999999999998</v>
      </c>
      <c r="H35" s="22">
        <f t="shared" si="1"/>
        <v>28.616666666666674</v>
      </c>
    </row>
    <row r="36" spans="1:8" x14ac:dyDescent="0.25">
      <c r="A36" s="3" t="s">
        <v>24</v>
      </c>
      <c r="B36" s="133" t="s">
        <v>3</v>
      </c>
      <c r="C36" s="133"/>
      <c r="D36" s="9">
        <v>0.5</v>
      </c>
      <c r="E36" s="8">
        <v>1.2</v>
      </c>
      <c r="F36" s="63">
        <v>1</v>
      </c>
      <c r="G36" s="10">
        <f t="shared" si="0"/>
        <v>0.6</v>
      </c>
      <c r="H36" s="22">
        <f t="shared" si="1"/>
        <v>28.333333333333343</v>
      </c>
    </row>
    <row r="37" spans="1:8" x14ac:dyDescent="0.25">
      <c r="A37" s="4" t="s">
        <v>25</v>
      </c>
      <c r="B37" s="133" t="s">
        <v>3</v>
      </c>
      <c r="C37" s="133"/>
      <c r="D37" s="9">
        <v>0.495</v>
      </c>
      <c r="E37" s="8">
        <v>1.2</v>
      </c>
      <c r="F37" s="63">
        <v>1</v>
      </c>
      <c r="G37" s="10">
        <f t="shared" si="0"/>
        <v>0.59399999999999997</v>
      </c>
      <c r="H37" s="22">
        <f t="shared" si="1"/>
        <v>28.050000000000011</v>
      </c>
    </row>
    <row r="38" spans="1:8" x14ac:dyDescent="0.25">
      <c r="A38" s="4" t="s">
        <v>26</v>
      </c>
      <c r="B38" s="133" t="s">
        <v>3</v>
      </c>
      <c r="C38" s="133"/>
      <c r="D38" s="9">
        <v>0.49</v>
      </c>
      <c r="E38" s="8">
        <v>1.2</v>
      </c>
      <c r="F38" s="63">
        <v>1</v>
      </c>
      <c r="G38" s="10">
        <f t="shared" si="0"/>
        <v>0.58799999999999997</v>
      </c>
      <c r="H38" s="22">
        <f t="shared" si="1"/>
        <v>27.766666666666676</v>
      </c>
    </row>
    <row r="39" spans="1:8" x14ac:dyDescent="0.25">
      <c r="A39" s="4" t="s">
        <v>27</v>
      </c>
      <c r="B39" s="133" t="s">
        <v>3</v>
      </c>
      <c r="C39" s="133"/>
      <c r="D39" s="9">
        <v>0.48499999999999999</v>
      </c>
      <c r="E39" s="8">
        <v>1.2</v>
      </c>
      <c r="F39" s="63">
        <v>1</v>
      </c>
      <c r="G39" s="10">
        <f t="shared" si="0"/>
        <v>0.58199999999999996</v>
      </c>
      <c r="H39" s="22">
        <f t="shared" si="1"/>
        <v>27.483333333333341</v>
      </c>
    </row>
    <row r="40" spans="1:8" x14ac:dyDescent="0.25">
      <c r="A40" s="4" t="s">
        <v>28</v>
      </c>
      <c r="B40" s="133" t="s">
        <v>3</v>
      </c>
      <c r="C40" s="133"/>
      <c r="D40" s="9">
        <v>0.48</v>
      </c>
      <c r="E40" s="8">
        <v>1.2</v>
      </c>
      <c r="F40" s="63">
        <v>1</v>
      </c>
      <c r="G40" s="10">
        <f t="shared" si="0"/>
        <v>0.57599999999999996</v>
      </c>
      <c r="H40" s="22">
        <f t="shared" si="1"/>
        <v>27.200000000000006</v>
      </c>
    </row>
    <row r="41" spans="1:8" x14ac:dyDescent="0.25">
      <c r="A41" s="3" t="s">
        <v>29</v>
      </c>
      <c r="B41" s="133" t="s">
        <v>3</v>
      </c>
      <c r="C41" s="133"/>
      <c r="D41" s="9">
        <v>0.47499999999999998</v>
      </c>
      <c r="E41" s="8">
        <v>1.2</v>
      </c>
      <c r="F41" s="63">
        <v>1</v>
      </c>
      <c r="G41" s="10">
        <f t="shared" si="0"/>
        <v>0.56999999999999995</v>
      </c>
      <c r="H41" s="22">
        <f t="shared" si="1"/>
        <v>26.916666666666675</v>
      </c>
    </row>
    <row r="42" spans="1:8" x14ac:dyDescent="0.25">
      <c r="A42" s="4" t="s">
        <v>30</v>
      </c>
      <c r="B42" s="133" t="s">
        <v>3</v>
      </c>
      <c r="C42" s="133"/>
      <c r="D42" s="9">
        <v>0.47</v>
      </c>
      <c r="E42" s="8">
        <v>1.2</v>
      </c>
      <c r="F42" s="63">
        <v>1</v>
      </c>
      <c r="G42" s="10">
        <f t="shared" si="0"/>
        <v>0.56399999999999995</v>
      </c>
      <c r="H42" s="22">
        <f t="shared" si="1"/>
        <v>26.63333333333334</v>
      </c>
    </row>
    <row r="43" spans="1:8" x14ac:dyDescent="0.25">
      <c r="A43" s="4" t="s">
        <v>31</v>
      </c>
      <c r="B43" s="133" t="s">
        <v>3</v>
      </c>
      <c r="C43" s="133"/>
      <c r="D43" s="9">
        <v>0.46500000000000002</v>
      </c>
      <c r="E43" s="8">
        <v>1.2</v>
      </c>
      <c r="F43" s="63">
        <v>1</v>
      </c>
      <c r="G43" s="10">
        <f t="shared" si="0"/>
        <v>0.55800000000000005</v>
      </c>
      <c r="H43" s="22">
        <f t="shared" si="1"/>
        <v>26.350000000000012</v>
      </c>
    </row>
    <row r="44" spans="1:8" x14ac:dyDescent="0.25">
      <c r="A44" s="4" t="s">
        <v>32</v>
      </c>
      <c r="B44" s="133" t="s">
        <v>3</v>
      </c>
      <c r="C44" s="133"/>
      <c r="D44" s="9">
        <v>0.46</v>
      </c>
      <c r="E44" s="8">
        <v>1.2</v>
      </c>
      <c r="F44" s="63">
        <v>1</v>
      </c>
      <c r="G44" s="10">
        <f t="shared" si="0"/>
        <v>0.55200000000000005</v>
      </c>
      <c r="H44" s="22">
        <f t="shared" si="1"/>
        <v>26.066666666666681</v>
      </c>
    </row>
    <row r="45" spans="1:8" x14ac:dyDescent="0.25">
      <c r="A45" s="4" t="s">
        <v>33</v>
      </c>
      <c r="B45" s="133" t="s">
        <v>3</v>
      </c>
      <c r="C45" s="133"/>
      <c r="D45" s="9">
        <v>0.45500000000000002</v>
      </c>
      <c r="E45" s="8">
        <v>1.2</v>
      </c>
      <c r="F45" s="63">
        <v>1</v>
      </c>
      <c r="G45" s="10">
        <f t="shared" si="0"/>
        <v>0.54600000000000004</v>
      </c>
      <c r="H45" s="22">
        <f t="shared" si="1"/>
        <v>25.783333333333349</v>
      </c>
    </row>
    <row r="46" spans="1:8" x14ac:dyDescent="0.25">
      <c r="A46" s="3" t="s">
        <v>34</v>
      </c>
      <c r="B46" s="133" t="s">
        <v>3</v>
      </c>
      <c r="C46" s="133"/>
      <c r="D46" s="9">
        <v>0.45</v>
      </c>
      <c r="E46" s="8">
        <v>1.2</v>
      </c>
      <c r="F46" s="63">
        <v>1</v>
      </c>
      <c r="G46" s="10">
        <f t="shared" ref="G46:G80" si="2">$D46*$E46</f>
        <v>0.54</v>
      </c>
      <c r="H46" s="22">
        <f t="shared" si="1"/>
        <v>25.500000000000014</v>
      </c>
    </row>
    <row r="47" spans="1:8" x14ac:dyDescent="0.25">
      <c r="A47" s="4" t="s">
        <v>35</v>
      </c>
      <c r="B47" s="133" t="s">
        <v>3</v>
      </c>
      <c r="C47" s="133"/>
      <c r="D47" s="9">
        <v>0.44500000000000001</v>
      </c>
      <c r="E47" s="8">
        <v>1.2</v>
      </c>
      <c r="F47" s="63">
        <v>1</v>
      </c>
      <c r="G47" s="10">
        <f t="shared" si="2"/>
        <v>0.53400000000000003</v>
      </c>
      <c r="H47" s="22">
        <f t="shared" si="1"/>
        <v>25.216666666666679</v>
      </c>
    </row>
    <row r="48" spans="1:8" x14ac:dyDescent="0.25">
      <c r="A48" s="4" t="s">
        <v>36</v>
      </c>
      <c r="B48" s="133" t="s">
        <v>3</v>
      </c>
      <c r="C48" s="133"/>
      <c r="D48" s="9">
        <v>0.44</v>
      </c>
      <c r="E48" s="8">
        <v>1.2</v>
      </c>
      <c r="F48" s="63">
        <v>1</v>
      </c>
      <c r="G48" s="10">
        <f t="shared" si="2"/>
        <v>0.52800000000000002</v>
      </c>
      <c r="H48" s="22">
        <f t="shared" si="1"/>
        <v>24.933333333333348</v>
      </c>
    </row>
    <row r="49" spans="1:8" x14ac:dyDescent="0.25">
      <c r="A49" s="4" t="s">
        <v>37</v>
      </c>
      <c r="B49" s="133" t="s">
        <v>3</v>
      </c>
      <c r="C49" s="133"/>
      <c r="D49" s="9">
        <v>0.435</v>
      </c>
      <c r="E49" s="8">
        <v>1.2</v>
      </c>
      <c r="F49" s="63">
        <v>1</v>
      </c>
      <c r="G49" s="10">
        <f t="shared" si="2"/>
        <v>0.52200000000000002</v>
      </c>
      <c r="H49" s="22">
        <f t="shared" si="1"/>
        <v>24.650000000000013</v>
      </c>
    </row>
    <row r="50" spans="1:8" x14ac:dyDescent="0.25">
      <c r="A50" s="4" t="s">
        <v>38</v>
      </c>
      <c r="B50" s="133" t="s">
        <v>3</v>
      </c>
      <c r="C50" s="133"/>
      <c r="D50" s="9">
        <v>0.43</v>
      </c>
      <c r="E50" s="8">
        <v>1.2</v>
      </c>
      <c r="F50" s="63">
        <v>1</v>
      </c>
      <c r="G50" s="10">
        <f t="shared" si="2"/>
        <v>0.51600000000000001</v>
      </c>
      <c r="H50" s="22">
        <f t="shared" si="1"/>
        <v>24.366666666666681</v>
      </c>
    </row>
    <row r="51" spans="1:8" x14ac:dyDescent="0.25">
      <c r="A51" s="3" t="s">
        <v>39</v>
      </c>
      <c r="B51" s="133" t="s">
        <v>3</v>
      </c>
      <c r="C51" s="133"/>
      <c r="D51" s="9">
        <v>0.42499999999999999</v>
      </c>
      <c r="E51" s="8">
        <v>1.2</v>
      </c>
      <c r="F51" s="63">
        <v>1</v>
      </c>
      <c r="G51" s="10">
        <f t="shared" si="2"/>
        <v>0.51</v>
      </c>
      <c r="H51" s="22">
        <f t="shared" si="1"/>
        <v>24.08333333333335</v>
      </c>
    </row>
    <row r="52" spans="1:8" x14ac:dyDescent="0.25">
      <c r="A52" s="4" t="s">
        <v>40</v>
      </c>
      <c r="B52" s="133" t="s">
        <v>3</v>
      </c>
      <c r="C52" s="133"/>
      <c r="D52" s="9">
        <v>0.42</v>
      </c>
      <c r="E52" s="8">
        <v>1.2</v>
      </c>
      <c r="F52" s="63">
        <v>1</v>
      </c>
      <c r="G52" s="10">
        <f t="shared" si="2"/>
        <v>0.504</v>
      </c>
      <c r="H52" s="22">
        <f t="shared" si="1"/>
        <v>23.800000000000018</v>
      </c>
    </row>
    <row r="53" spans="1:8" x14ac:dyDescent="0.25">
      <c r="A53" s="4" t="s">
        <v>41</v>
      </c>
      <c r="B53" s="133" t="s">
        <v>3</v>
      </c>
      <c r="C53" s="133"/>
      <c r="D53" s="9">
        <v>0.41499999999999998</v>
      </c>
      <c r="E53" s="8">
        <v>1.2</v>
      </c>
      <c r="F53" s="63">
        <v>1</v>
      </c>
      <c r="G53" s="10">
        <f t="shared" si="2"/>
        <v>0.49799999999999994</v>
      </c>
      <c r="H53" s="22">
        <f t="shared" si="1"/>
        <v>23.516666666666683</v>
      </c>
    </row>
    <row r="54" spans="1:8" x14ac:dyDescent="0.25">
      <c r="A54" s="4" t="s">
        <v>42</v>
      </c>
      <c r="B54" s="133" t="s">
        <v>3</v>
      </c>
      <c r="C54" s="133"/>
      <c r="D54" s="9">
        <v>0.41</v>
      </c>
      <c r="E54" s="8">
        <v>1.2</v>
      </c>
      <c r="F54" s="63">
        <v>1</v>
      </c>
      <c r="G54" s="10">
        <f t="shared" si="2"/>
        <v>0.49199999999999994</v>
      </c>
      <c r="H54" s="22">
        <f t="shared" si="1"/>
        <v>23.233333333333348</v>
      </c>
    </row>
    <row r="55" spans="1:8" x14ac:dyDescent="0.25">
      <c r="A55" s="4" t="s">
        <v>43</v>
      </c>
      <c r="B55" s="133" t="s">
        <v>3</v>
      </c>
      <c r="C55" s="133"/>
      <c r="D55" s="9">
        <v>0.40500000000000003</v>
      </c>
      <c r="E55" s="8">
        <v>1.2</v>
      </c>
      <c r="F55" s="63">
        <v>1</v>
      </c>
      <c r="G55" s="10">
        <f t="shared" si="2"/>
        <v>0.48599999999999999</v>
      </c>
      <c r="H55" s="22">
        <f t="shared" si="1"/>
        <v>22.950000000000017</v>
      </c>
    </row>
    <row r="56" spans="1:8" x14ac:dyDescent="0.25">
      <c r="A56" s="3" t="s">
        <v>44</v>
      </c>
      <c r="B56" s="133" t="s">
        <v>3</v>
      </c>
      <c r="C56" s="133"/>
      <c r="D56" s="9">
        <v>0.4</v>
      </c>
      <c r="E56" s="8">
        <v>1.2</v>
      </c>
      <c r="F56" s="63">
        <v>1</v>
      </c>
      <c r="G56" s="10">
        <f t="shared" si="2"/>
        <v>0.48</v>
      </c>
      <c r="H56" s="22">
        <f t="shared" si="1"/>
        <v>22.666666666666682</v>
      </c>
    </row>
    <row r="57" spans="1:8" x14ac:dyDescent="0.25">
      <c r="A57" s="4" t="s">
        <v>45</v>
      </c>
      <c r="B57" s="133" t="s">
        <v>3</v>
      </c>
      <c r="C57" s="133"/>
      <c r="D57" s="9">
        <v>0.39500000000000002</v>
      </c>
      <c r="E57" s="8">
        <v>1.2</v>
      </c>
      <c r="F57" s="63">
        <v>1</v>
      </c>
      <c r="G57" s="10">
        <f t="shared" si="2"/>
        <v>0.47399999999999998</v>
      </c>
      <c r="H57" s="22">
        <f t="shared" si="1"/>
        <v>22.383333333333347</v>
      </c>
    </row>
    <row r="58" spans="1:8" x14ac:dyDescent="0.25">
      <c r="A58" s="4" t="s">
        <v>46</v>
      </c>
      <c r="B58" s="133" t="s">
        <v>3</v>
      </c>
      <c r="C58" s="133"/>
      <c r="D58" s="9">
        <v>0.39</v>
      </c>
      <c r="E58" s="8">
        <v>1.2</v>
      </c>
      <c r="F58" s="63">
        <v>1</v>
      </c>
      <c r="G58" s="10">
        <f t="shared" si="2"/>
        <v>0.46799999999999997</v>
      </c>
      <c r="H58" s="22">
        <f t="shared" si="1"/>
        <v>22.100000000000012</v>
      </c>
    </row>
    <row r="59" spans="1:8" x14ac:dyDescent="0.25">
      <c r="A59" s="4" t="s">
        <v>47</v>
      </c>
      <c r="B59" s="133" t="s">
        <v>3</v>
      </c>
      <c r="C59" s="133"/>
      <c r="D59" s="9">
        <v>0.38500000000000001</v>
      </c>
      <c r="E59" s="8">
        <v>1.2</v>
      </c>
      <c r="F59" s="63">
        <v>1</v>
      </c>
      <c r="G59" s="10">
        <f t="shared" si="2"/>
        <v>0.46199999999999997</v>
      </c>
      <c r="H59" s="22">
        <f t="shared" si="1"/>
        <v>21.816666666666681</v>
      </c>
    </row>
    <row r="60" spans="1:8" x14ac:dyDescent="0.25">
      <c r="A60" s="4" t="s">
        <v>48</v>
      </c>
      <c r="B60" s="133" t="s">
        <v>3</v>
      </c>
      <c r="C60" s="133"/>
      <c r="D60" s="9">
        <v>0.38</v>
      </c>
      <c r="E60" s="8">
        <v>1.2</v>
      </c>
      <c r="F60" s="63">
        <v>1</v>
      </c>
      <c r="G60" s="10">
        <f t="shared" si="2"/>
        <v>0.45599999999999996</v>
      </c>
      <c r="H60" s="22">
        <f t="shared" si="1"/>
        <v>21.533333333333346</v>
      </c>
    </row>
    <row r="61" spans="1:8" x14ac:dyDescent="0.25">
      <c r="A61" s="3" t="s">
        <v>49</v>
      </c>
      <c r="B61" s="133" t="s">
        <v>3</v>
      </c>
      <c r="C61" s="133"/>
      <c r="D61" s="9">
        <v>0.375</v>
      </c>
      <c r="E61" s="8">
        <v>1.2</v>
      </c>
      <c r="F61" s="63">
        <v>1</v>
      </c>
      <c r="G61" s="10">
        <f t="shared" si="2"/>
        <v>0.44999999999999996</v>
      </c>
      <c r="H61" s="22">
        <f t="shared" si="1"/>
        <v>21.250000000000011</v>
      </c>
    </row>
    <row r="62" spans="1:8" x14ac:dyDescent="0.25">
      <c r="A62" s="4" t="s">
        <v>50</v>
      </c>
      <c r="B62" s="133" t="s">
        <v>3</v>
      </c>
      <c r="C62" s="133"/>
      <c r="D62" s="9">
        <v>0.37</v>
      </c>
      <c r="E62" s="8">
        <v>1.2</v>
      </c>
      <c r="F62" s="63">
        <v>1</v>
      </c>
      <c r="G62" s="10">
        <f t="shared" si="2"/>
        <v>0.44400000000000001</v>
      </c>
      <c r="H62" s="22">
        <f t="shared" si="1"/>
        <v>20.966666666666679</v>
      </c>
    </row>
    <row r="63" spans="1:8" x14ac:dyDescent="0.25">
      <c r="A63" s="4" t="s">
        <v>51</v>
      </c>
      <c r="B63" s="133" t="s">
        <v>3</v>
      </c>
      <c r="C63" s="133"/>
      <c r="D63" s="9">
        <v>0.36499999999999999</v>
      </c>
      <c r="E63" s="8">
        <v>1.2</v>
      </c>
      <c r="F63" s="63">
        <v>1</v>
      </c>
      <c r="G63" s="10">
        <f t="shared" si="2"/>
        <v>0.438</v>
      </c>
      <c r="H63" s="22">
        <f t="shared" si="1"/>
        <v>20.683333333333348</v>
      </c>
    </row>
    <row r="64" spans="1:8" x14ac:dyDescent="0.25">
      <c r="A64" s="4" t="s">
        <v>52</v>
      </c>
      <c r="B64" s="133" t="s">
        <v>3</v>
      </c>
      <c r="C64" s="133"/>
      <c r="D64" s="9">
        <v>0.36</v>
      </c>
      <c r="E64" s="8">
        <v>1.2</v>
      </c>
      <c r="F64" s="63">
        <v>1</v>
      </c>
      <c r="G64" s="10">
        <f t="shared" si="2"/>
        <v>0.432</v>
      </c>
      <c r="H64" s="22">
        <f t="shared" si="1"/>
        <v>20.400000000000013</v>
      </c>
    </row>
    <row r="65" spans="1:8" x14ac:dyDescent="0.25">
      <c r="A65" s="4" t="s">
        <v>53</v>
      </c>
      <c r="B65" s="133" t="s">
        <v>3</v>
      </c>
      <c r="C65" s="133"/>
      <c r="D65" s="9">
        <v>0.35499999999999998</v>
      </c>
      <c r="E65" s="8">
        <v>1.2</v>
      </c>
      <c r="F65" s="63">
        <v>1</v>
      </c>
      <c r="G65" s="10">
        <f t="shared" si="2"/>
        <v>0.42599999999999999</v>
      </c>
      <c r="H65" s="22">
        <f t="shared" si="1"/>
        <v>20.116666666666681</v>
      </c>
    </row>
    <row r="66" spans="1:8" x14ac:dyDescent="0.25">
      <c r="A66" s="3" t="s">
        <v>54</v>
      </c>
      <c r="B66" s="133" t="s">
        <v>3</v>
      </c>
      <c r="C66" s="133"/>
      <c r="D66" s="9">
        <v>0.35</v>
      </c>
      <c r="E66" s="8">
        <v>1.2</v>
      </c>
      <c r="F66" s="63">
        <v>1</v>
      </c>
      <c r="G66" s="10">
        <f t="shared" si="2"/>
        <v>0.42</v>
      </c>
      <c r="H66" s="22">
        <f t="shared" si="1"/>
        <v>19.833333333333346</v>
      </c>
    </row>
    <row r="67" spans="1:8" x14ac:dyDescent="0.25">
      <c r="A67" s="4" t="s">
        <v>55</v>
      </c>
      <c r="B67" s="133" t="s">
        <v>3</v>
      </c>
      <c r="C67" s="133"/>
      <c r="D67" s="9">
        <v>0.34499999999999997</v>
      </c>
      <c r="E67" s="8">
        <v>1.2</v>
      </c>
      <c r="F67" s="63">
        <v>1</v>
      </c>
      <c r="G67" s="10">
        <f t="shared" si="2"/>
        <v>0.41399999999999998</v>
      </c>
      <c r="H67" s="22">
        <f t="shared" si="1"/>
        <v>19.550000000000015</v>
      </c>
    </row>
    <row r="68" spans="1:8" x14ac:dyDescent="0.25">
      <c r="A68" s="4" t="s">
        <v>56</v>
      </c>
      <c r="B68" s="133" t="s">
        <v>3</v>
      </c>
      <c r="C68" s="133"/>
      <c r="D68" s="9">
        <v>0.34</v>
      </c>
      <c r="E68" s="8">
        <v>1.2</v>
      </c>
      <c r="F68" s="63">
        <v>1</v>
      </c>
      <c r="G68" s="10">
        <f t="shared" si="2"/>
        <v>0.40800000000000003</v>
      </c>
      <c r="H68" s="22">
        <f t="shared" si="1"/>
        <v>19.266666666666683</v>
      </c>
    </row>
    <row r="69" spans="1:8" x14ac:dyDescent="0.25">
      <c r="A69" s="4" t="s">
        <v>57</v>
      </c>
      <c r="B69" s="133" t="s">
        <v>3</v>
      </c>
      <c r="C69" s="133"/>
      <c r="D69" s="9">
        <v>0.33500000000000002</v>
      </c>
      <c r="E69" s="8">
        <v>1.2</v>
      </c>
      <c r="F69" s="63">
        <v>1</v>
      </c>
      <c r="G69" s="10">
        <f t="shared" si="2"/>
        <v>0.40200000000000002</v>
      </c>
      <c r="H69" s="22">
        <f t="shared" si="1"/>
        <v>18.983333333333352</v>
      </c>
    </row>
    <row r="70" spans="1:8" x14ac:dyDescent="0.25">
      <c r="A70" s="4" t="s">
        <v>58</v>
      </c>
      <c r="B70" s="133" t="s">
        <v>3</v>
      </c>
      <c r="C70" s="133"/>
      <c r="D70" s="9">
        <v>0.33</v>
      </c>
      <c r="E70" s="8">
        <v>1.2</v>
      </c>
      <c r="F70" s="63">
        <v>1</v>
      </c>
      <c r="G70" s="10">
        <f t="shared" si="2"/>
        <v>0.39600000000000002</v>
      </c>
      <c r="H70" s="22">
        <f t="shared" si="1"/>
        <v>18.700000000000017</v>
      </c>
    </row>
    <row r="71" spans="1:8" x14ac:dyDescent="0.25">
      <c r="A71" s="3" t="s">
        <v>59</v>
      </c>
      <c r="B71" s="133" t="s">
        <v>3</v>
      </c>
      <c r="C71" s="133"/>
      <c r="D71" s="9">
        <v>0.32500000000000001</v>
      </c>
      <c r="E71" s="8">
        <v>1.2</v>
      </c>
      <c r="F71" s="63">
        <v>1</v>
      </c>
      <c r="G71" s="10">
        <f t="shared" si="2"/>
        <v>0.39</v>
      </c>
      <c r="H71" s="22">
        <f t="shared" si="1"/>
        <v>18.416666666666686</v>
      </c>
    </row>
    <row r="72" spans="1:8" x14ac:dyDescent="0.25">
      <c r="A72" s="4" t="s">
        <v>60</v>
      </c>
      <c r="B72" s="133" t="s">
        <v>3</v>
      </c>
      <c r="C72" s="133"/>
      <c r="D72" s="9">
        <v>0.32</v>
      </c>
      <c r="E72" s="8">
        <v>1.2</v>
      </c>
      <c r="F72" s="63">
        <v>1</v>
      </c>
      <c r="G72" s="10">
        <f t="shared" si="2"/>
        <v>0.38400000000000001</v>
      </c>
      <c r="H72" s="22">
        <f t="shared" si="1"/>
        <v>18.133333333333351</v>
      </c>
    </row>
    <row r="73" spans="1:8" x14ac:dyDescent="0.25">
      <c r="A73" s="4" t="s">
        <v>61</v>
      </c>
      <c r="B73" s="133" t="s">
        <v>3</v>
      </c>
      <c r="C73" s="133"/>
      <c r="D73" s="9">
        <v>0.315</v>
      </c>
      <c r="E73" s="8">
        <v>1.2</v>
      </c>
      <c r="F73" s="63">
        <v>1</v>
      </c>
      <c r="G73" s="10">
        <f t="shared" si="2"/>
        <v>0.378</v>
      </c>
      <c r="H73" s="22">
        <f t="shared" si="1"/>
        <v>17.850000000000016</v>
      </c>
    </row>
    <row r="74" spans="1:8" x14ac:dyDescent="0.25">
      <c r="A74" s="4" t="s">
        <v>62</v>
      </c>
      <c r="B74" s="133" t="s">
        <v>3</v>
      </c>
      <c r="C74" s="133"/>
      <c r="D74" s="9">
        <v>0.31</v>
      </c>
      <c r="E74" s="8">
        <v>1.2</v>
      </c>
      <c r="F74" s="63">
        <v>1</v>
      </c>
      <c r="G74" s="10">
        <f t="shared" si="2"/>
        <v>0.372</v>
      </c>
      <c r="H74" s="22">
        <f t="shared" si="1"/>
        <v>17.566666666666681</v>
      </c>
    </row>
    <row r="75" spans="1:8" x14ac:dyDescent="0.25">
      <c r="A75" s="4" t="s">
        <v>63</v>
      </c>
      <c r="B75" s="133" t="s">
        <v>3</v>
      </c>
      <c r="C75" s="133"/>
      <c r="D75" s="9">
        <v>0.30499999999999999</v>
      </c>
      <c r="E75" s="8">
        <v>1.2</v>
      </c>
      <c r="F75" s="63">
        <v>1</v>
      </c>
      <c r="G75" s="10">
        <f t="shared" si="2"/>
        <v>0.36599999999999999</v>
      </c>
      <c r="H75" s="22">
        <f t="shared" si="1"/>
        <v>17.283333333333346</v>
      </c>
    </row>
    <row r="76" spans="1:8" x14ac:dyDescent="0.25">
      <c r="A76" s="3" t="s">
        <v>64</v>
      </c>
      <c r="B76" s="133" t="s">
        <v>3</v>
      </c>
      <c r="C76" s="133"/>
      <c r="D76" s="9">
        <v>0.3</v>
      </c>
      <c r="E76" s="8">
        <v>1.2</v>
      </c>
      <c r="F76" s="63">
        <v>1</v>
      </c>
      <c r="G76" s="10">
        <f t="shared" si="2"/>
        <v>0.36</v>
      </c>
      <c r="H76" s="22">
        <f t="shared" si="1"/>
        <v>17.000000000000011</v>
      </c>
    </row>
    <row r="77" spans="1:8" x14ac:dyDescent="0.25">
      <c r="A77" s="4" t="s">
        <v>65</v>
      </c>
      <c r="B77" s="133" t="s">
        <v>3</v>
      </c>
      <c r="C77" s="133"/>
      <c r="D77" s="9">
        <v>0.29499999999999998</v>
      </c>
      <c r="E77" s="8">
        <v>1.2</v>
      </c>
      <c r="F77" s="63">
        <v>1</v>
      </c>
      <c r="G77" s="10">
        <f t="shared" si="2"/>
        <v>0.35399999999999998</v>
      </c>
      <c r="H77" s="22">
        <f t="shared" si="1"/>
        <v>16.716666666666676</v>
      </c>
    </row>
    <row r="78" spans="1:8" x14ac:dyDescent="0.25">
      <c r="A78" s="4" t="s">
        <v>66</v>
      </c>
      <c r="B78" s="133" t="s">
        <v>3</v>
      </c>
      <c r="C78" s="133"/>
      <c r="D78" s="9">
        <v>0.28999999999999998</v>
      </c>
      <c r="E78" s="8">
        <v>1.2</v>
      </c>
      <c r="F78" s="63">
        <v>1</v>
      </c>
      <c r="G78" s="10">
        <f t="shared" si="2"/>
        <v>0.34799999999999998</v>
      </c>
      <c r="H78" s="22">
        <f t="shared" si="1"/>
        <v>16.433333333333341</v>
      </c>
    </row>
    <row r="79" spans="1:8" x14ac:dyDescent="0.25">
      <c r="A79" s="4" t="s">
        <v>67</v>
      </c>
      <c r="B79" s="133" t="s">
        <v>3</v>
      </c>
      <c r="C79" s="133"/>
      <c r="D79" s="9">
        <v>0.28499999999999998</v>
      </c>
      <c r="E79" s="8">
        <v>1.2</v>
      </c>
      <c r="F79" s="63">
        <v>1</v>
      </c>
      <c r="G79" s="10">
        <f t="shared" si="2"/>
        <v>0.34199999999999997</v>
      </c>
      <c r="H79" s="22">
        <f t="shared" si="1"/>
        <v>16.150000000000009</v>
      </c>
    </row>
    <row r="80" spans="1:8" x14ac:dyDescent="0.25">
      <c r="A80" s="4" t="s">
        <v>68</v>
      </c>
      <c r="B80" s="133" t="s">
        <v>3</v>
      </c>
      <c r="C80" s="133"/>
      <c r="D80" s="9">
        <v>0.28000000000000003</v>
      </c>
      <c r="E80" s="8">
        <v>1.2</v>
      </c>
      <c r="F80" s="63">
        <v>1</v>
      </c>
      <c r="G80" s="10">
        <f t="shared" si="2"/>
        <v>0.33600000000000002</v>
      </c>
      <c r="H80" s="22">
        <f t="shared" si="1"/>
        <v>15.86666666666668</v>
      </c>
    </row>
    <row r="81" spans="1:8" x14ac:dyDescent="0.25">
      <c r="A81" s="3" t="s">
        <v>69</v>
      </c>
      <c r="B81" s="133" t="s">
        <v>3</v>
      </c>
      <c r="C81" s="133"/>
      <c r="D81" s="9">
        <v>0.27500000000000002</v>
      </c>
      <c r="E81" s="8">
        <v>1.2</v>
      </c>
      <c r="F81" s="63">
        <v>1</v>
      </c>
      <c r="G81" s="10">
        <f t="shared" ref="G81:G126" si="3">$D81*$E81</f>
        <v>0.33</v>
      </c>
      <c r="H81" s="22">
        <f t="shared" ref="H81:H126" si="4">$G81*$H80/$G80</f>
        <v>15.583333333333345</v>
      </c>
    </row>
    <row r="82" spans="1:8" x14ac:dyDescent="0.25">
      <c r="A82" s="4" t="s">
        <v>70</v>
      </c>
      <c r="B82" s="133" t="s">
        <v>3</v>
      </c>
      <c r="C82" s="133"/>
      <c r="D82" s="9">
        <v>0.27</v>
      </c>
      <c r="E82" s="8">
        <v>1.2</v>
      </c>
      <c r="F82" s="63">
        <v>1</v>
      </c>
      <c r="G82" s="10">
        <f t="shared" si="3"/>
        <v>0.32400000000000001</v>
      </c>
      <c r="H82" s="22">
        <f t="shared" si="4"/>
        <v>15.300000000000011</v>
      </c>
    </row>
    <row r="83" spans="1:8" x14ac:dyDescent="0.25">
      <c r="A83" s="4" t="s">
        <v>71</v>
      </c>
      <c r="B83" s="133" t="s">
        <v>3</v>
      </c>
      <c r="C83" s="133"/>
      <c r="D83" s="9">
        <v>0.26500000000000001</v>
      </c>
      <c r="E83" s="8">
        <v>1.2</v>
      </c>
      <c r="F83" s="63">
        <v>1</v>
      </c>
      <c r="G83" s="10">
        <f t="shared" si="3"/>
        <v>0.318</v>
      </c>
      <c r="H83" s="22">
        <f t="shared" si="4"/>
        <v>15.016666666666678</v>
      </c>
    </row>
    <row r="84" spans="1:8" x14ac:dyDescent="0.25">
      <c r="A84" s="4" t="s">
        <v>72</v>
      </c>
      <c r="B84" s="133" t="s">
        <v>3</v>
      </c>
      <c r="C84" s="133"/>
      <c r="D84" s="9">
        <v>0.26</v>
      </c>
      <c r="E84" s="8">
        <v>1.2</v>
      </c>
      <c r="F84" s="63">
        <v>1</v>
      </c>
      <c r="G84" s="10">
        <f t="shared" si="3"/>
        <v>0.312</v>
      </c>
      <c r="H84" s="22">
        <f t="shared" si="4"/>
        <v>14.733333333333345</v>
      </c>
    </row>
    <row r="85" spans="1:8" x14ac:dyDescent="0.25">
      <c r="A85" s="4" t="s">
        <v>73</v>
      </c>
      <c r="B85" s="133" t="s">
        <v>3</v>
      </c>
      <c r="C85" s="133"/>
      <c r="D85" s="9">
        <v>0.255</v>
      </c>
      <c r="E85" s="8">
        <v>1.2</v>
      </c>
      <c r="F85" s="63">
        <v>1</v>
      </c>
      <c r="G85" s="10">
        <f t="shared" si="3"/>
        <v>0.30599999999999999</v>
      </c>
      <c r="H85" s="22">
        <f t="shared" si="4"/>
        <v>14.450000000000012</v>
      </c>
    </row>
    <row r="86" spans="1:8" x14ac:dyDescent="0.25">
      <c r="A86" s="3" t="s">
        <v>74</v>
      </c>
      <c r="B86" s="133" t="s">
        <v>3</v>
      </c>
      <c r="C86" s="133"/>
      <c r="D86" s="9">
        <v>0.25</v>
      </c>
      <c r="E86" s="8">
        <v>1.2</v>
      </c>
      <c r="F86" s="63">
        <v>1</v>
      </c>
      <c r="G86" s="10">
        <f t="shared" si="3"/>
        <v>0.3</v>
      </c>
      <c r="H86" s="22">
        <f t="shared" si="4"/>
        <v>14.166666666666679</v>
      </c>
    </row>
    <row r="87" spans="1:8" x14ac:dyDescent="0.25">
      <c r="A87" s="4" t="s">
        <v>75</v>
      </c>
      <c r="B87" s="133" t="s">
        <v>3</v>
      </c>
      <c r="C87" s="133"/>
      <c r="D87" s="9">
        <v>0.245</v>
      </c>
      <c r="E87" s="8">
        <v>1.2</v>
      </c>
      <c r="F87" s="63">
        <v>1</v>
      </c>
      <c r="G87" s="10">
        <f t="shared" si="3"/>
        <v>0.29399999999999998</v>
      </c>
      <c r="H87" s="22">
        <f t="shared" si="4"/>
        <v>13.883333333333345</v>
      </c>
    </row>
    <row r="88" spans="1:8" x14ac:dyDescent="0.25">
      <c r="A88" s="4" t="s">
        <v>76</v>
      </c>
      <c r="B88" s="133" t="s">
        <v>3</v>
      </c>
      <c r="C88" s="133"/>
      <c r="D88" s="9">
        <v>0.24</v>
      </c>
      <c r="E88" s="8">
        <v>1.2</v>
      </c>
      <c r="F88" s="63">
        <v>1</v>
      </c>
      <c r="G88" s="10">
        <f t="shared" si="3"/>
        <v>0.28799999999999998</v>
      </c>
      <c r="H88" s="22">
        <f t="shared" si="4"/>
        <v>13.600000000000012</v>
      </c>
    </row>
    <row r="89" spans="1:8" x14ac:dyDescent="0.25">
      <c r="A89" s="4" t="s">
        <v>77</v>
      </c>
      <c r="B89" s="133" t="s">
        <v>3</v>
      </c>
      <c r="C89" s="133"/>
      <c r="D89" s="9">
        <v>0.23499999999999999</v>
      </c>
      <c r="E89" s="8">
        <v>1.2</v>
      </c>
      <c r="F89" s="63">
        <v>1</v>
      </c>
      <c r="G89" s="10">
        <f t="shared" si="3"/>
        <v>0.28199999999999997</v>
      </c>
      <c r="H89" s="22">
        <f t="shared" si="4"/>
        <v>13.316666666666679</v>
      </c>
    </row>
    <row r="90" spans="1:8" x14ac:dyDescent="0.25">
      <c r="A90" s="4" t="s">
        <v>78</v>
      </c>
      <c r="B90" s="133" t="s">
        <v>3</v>
      </c>
      <c r="C90" s="133"/>
      <c r="D90" s="9">
        <v>0.23</v>
      </c>
      <c r="E90" s="8">
        <v>1.2</v>
      </c>
      <c r="F90" s="63">
        <v>1</v>
      </c>
      <c r="G90" s="10">
        <f t="shared" si="3"/>
        <v>0.27600000000000002</v>
      </c>
      <c r="H90" s="22">
        <f t="shared" si="4"/>
        <v>13.033333333333347</v>
      </c>
    </row>
    <row r="91" spans="1:8" x14ac:dyDescent="0.25">
      <c r="A91" s="3" t="s">
        <v>79</v>
      </c>
      <c r="B91" s="133" t="s">
        <v>3</v>
      </c>
      <c r="C91" s="133"/>
      <c r="D91" s="9">
        <v>0.22500000000000001</v>
      </c>
      <c r="E91" s="8">
        <v>1.2</v>
      </c>
      <c r="F91" s="63">
        <v>1</v>
      </c>
      <c r="G91" s="10">
        <f t="shared" si="3"/>
        <v>0.27</v>
      </c>
      <c r="H91" s="22">
        <f t="shared" si="4"/>
        <v>12.750000000000014</v>
      </c>
    </row>
    <row r="92" spans="1:8" x14ac:dyDescent="0.25">
      <c r="A92" s="4" t="s">
        <v>80</v>
      </c>
      <c r="B92" s="133" t="s">
        <v>3</v>
      </c>
      <c r="C92" s="133"/>
      <c r="D92" s="9">
        <v>0.22</v>
      </c>
      <c r="E92" s="8">
        <v>1.2</v>
      </c>
      <c r="F92" s="63">
        <v>1</v>
      </c>
      <c r="G92" s="10">
        <f t="shared" si="3"/>
        <v>0.26400000000000001</v>
      </c>
      <c r="H92" s="22">
        <f t="shared" si="4"/>
        <v>12.466666666666681</v>
      </c>
    </row>
    <row r="93" spans="1:8" x14ac:dyDescent="0.25">
      <c r="A93" s="4" t="s">
        <v>81</v>
      </c>
      <c r="B93" s="133" t="s">
        <v>3</v>
      </c>
      <c r="C93" s="133"/>
      <c r="D93" s="9">
        <v>0.215</v>
      </c>
      <c r="E93" s="8">
        <v>1.2</v>
      </c>
      <c r="F93" s="63">
        <v>1</v>
      </c>
      <c r="G93" s="10">
        <f t="shared" si="3"/>
        <v>0.25800000000000001</v>
      </c>
      <c r="H93" s="22">
        <f t="shared" si="4"/>
        <v>12.183333333333346</v>
      </c>
    </row>
    <row r="94" spans="1:8" x14ac:dyDescent="0.25">
      <c r="A94" s="4" t="s">
        <v>82</v>
      </c>
      <c r="B94" s="133" t="s">
        <v>3</v>
      </c>
      <c r="C94" s="133"/>
      <c r="D94" s="9">
        <v>0.21</v>
      </c>
      <c r="E94" s="8">
        <v>1.2</v>
      </c>
      <c r="F94" s="63">
        <v>1</v>
      </c>
      <c r="G94" s="10">
        <f t="shared" si="3"/>
        <v>0.252</v>
      </c>
      <c r="H94" s="22">
        <f t="shared" si="4"/>
        <v>11.900000000000013</v>
      </c>
    </row>
    <row r="95" spans="1:8" x14ac:dyDescent="0.25">
      <c r="A95" s="4" t="s">
        <v>83</v>
      </c>
      <c r="B95" s="133" t="s">
        <v>3</v>
      </c>
      <c r="C95" s="133"/>
      <c r="D95" s="9">
        <v>0.20499999999999999</v>
      </c>
      <c r="E95" s="8">
        <v>1.2</v>
      </c>
      <c r="F95" s="63">
        <v>1</v>
      </c>
      <c r="G95" s="10">
        <f t="shared" si="3"/>
        <v>0.24599999999999997</v>
      </c>
      <c r="H95" s="22">
        <f t="shared" si="4"/>
        <v>11.616666666666678</v>
      </c>
    </row>
    <row r="96" spans="1:8" x14ac:dyDescent="0.25">
      <c r="A96" s="3" t="s">
        <v>84</v>
      </c>
      <c r="B96" s="133" t="s">
        <v>3</v>
      </c>
      <c r="C96" s="133"/>
      <c r="D96" s="9">
        <v>0.2</v>
      </c>
      <c r="E96" s="8">
        <v>1.2</v>
      </c>
      <c r="F96" s="63">
        <v>1</v>
      </c>
      <c r="G96" s="10">
        <f t="shared" si="3"/>
        <v>0.24</v>
      </c>
      <c r="H96" s="22">
        <f t="shared" si="4"/>
        <v>11.333333333333345</v>
      </c>
    </row>
    <row r="97" spans="1:8" x14ac:dyDescent="0.25">
      <c r="A97" s="4" t="s">
        <v>85</v>
      </c>
      <c r="B97" s="133" t="s">
        <v>3</v>
      </c>
      <c r="C97" s="133"/>
      <c r="D97" s="9">
        <v>0.19500000000000001</v>
      </c>
      <c r="E97" s="8">
        <v>1.2</v>
      </c>
      <c r="F97" s="63">
        <v>1</v>
      </c>
      <c r="G97" s="10">
        <f t="shared" si="3"/>
        <v>0.23399999999999999</v>
      </c>
      <c r="H97" s="22">
        <f t="shared" si="4"/>
        <v>11.05000000000001</v>
      </c>
    </row>
    <row r="98" spans="1:8" x14ac:dyDescent="0.25">
      <c r="A98" s="4" t="s">
        <v>86</v>
      </c>
      <c r="B98" s="133" t="s">
        <v>3</v>
      </c>
      <c r="C98" s="133"/>
      <c r="D98" s="9">
        <v>0.19</v>
      </c>
      <c r="E98" s="8">
        <v>1.2</v>
      </c>
      <c r="F98" s="63">
        <v>1</v>
      </c>
      <c r="G98" s="10">
        <f t="shared" si="3"/>
        <v>0.22799999999999998</v>
      </c>
      <c r="H98" s="22">
        <f t="shared" si="4"/>
        <v>10.766666666666675</v>
      </c>
    </row>
    <row r="99" spans="1:8" x14ac:dyDescent="0.25">
      <c r="A99" s="4" t="s">
        <v>87</v>
      </c>
      <c r="B99" s="133" t="s">
        <v>3</v>
      </c>
      <c r="C99" s="133"/>
      <c r="D99" s="9">
        <v>0.185</v>
      </c>
      <c r="E99" s="8">
        <v>1.2</v>
      </c>
      <c r="F99" s="63">
        <v>1</v>
      </c>
      <c r="G99" s="10">
        <f t="shared" si="3"/>
        <v>0.222</v>
      </c>
      <c r="H99" s="22">
        <f t="shared" si="4"/>
        <v>10.483333333333343</v>
      </c>
    </row>
    <row r="100" spans="1:8" x14ac:dyDescent="0.25">
      <c r="A100" s="4" t="s">
        <v>88</v>
      </c>
      <c r="B100" s="133" t="s">
        <v>3</v>
      </c>
      <c r="C100" s="133"/>
      <c r="D100" s="9">
        <v>0.18</v>
      </c>
      <c r="E100" s="8">
        <v>1.2</v>
      </c>
      <c r="F100" s="63">
        <v>1</v>
      </c>
      <c r="G100" s="10">
        <f t="shared" si="3"/>
        <v>0.216</v>
      </c>
      <c r="H100" s="22">
        <f t="shared" si="4"/>
        <v>10.200000000000008</v>
      </c>
    </row>
    <row r="101" spans="1:8" x14ac:dyDescent="0.25">
      <c r="A101" s="3" t="s">
        <v>89</v>
      </c>
      <c r="B101" s="133" t="s">
        <v>3</v>
      </c>
      <c r="C101" s="133"/>
      <c r="D101" s="9">
        <v>0.17499999999999999</v>
      </c>
      <c r="E101" s="8">
        <v>1.2</v>
      </c>
      <c r="F101" s="63">
        <v>1</v>
      </c>
      <c r="G101" s="10">
        <f t="shared" si="3"/>
        <v>0.21</v>
      </c>
      <c r="H101" s="22">
        <f t="shared" si="4"/>
        <v>9.916666666666675</v>
      </c>
    </row>
    <row r="102" spans="1:8" x14ac:dyDescent="0.25">
      <c r="A102" s="4" t="s">
        <v>90</v>
      </c>
      <c r="B102" s="133" t="s">
        <v>3</v>
      </c>
      <c r="C102" s="133"/>
      <c r="D102" s="9">
        <v>0.17</v>
      </c>
      <c r="E102" s="8">
        <v>1.2</v>
      </c>
      <c r="F102" s="63">
        <v>1</v>
      </c>
      <c r="G102" s="10">
        <f t="shared" si="3"/>
        <v>0.20400000000000001</v>
      </c>
      <c r="H102" s="22">
        <f t="shared" si="4"/>
        <v>9.6333333333333435</v>
      </c>
    </row>
    <row r="103" spans="1:8" x14ac:dyDescent="0.25">
      <c r="A103" s="4" t="s">
        <v>91</v>
      </c>
      <c r="B103" s="133" t="s">
        <v>3</v>
      </c>
      <c r="C103" s="133"/>
      <c r="D103" s="9">
        <v>0.16500000000000001</v>
      </c>
      <c r="E103" s="8">
        <v>1.2</v>
      </c>
      <c r="F103" s="63">
        <v>1</v>
      </c>
      <c r="G103" s="10">
        <f t="shared" si="3"/>
        <v>0.19800000000000001</v>
      </c>
      <c r="H103" s="22">
        <f t="shared" si="4"/>
        <v>9.3500000000000103</v>
      </c>
    </row>
    <row r="104" spans="1:8" x14ac:dyDescent="0.25">
      <c r="A104" s="4" t="s">
        <v>92</v>
      </c>
      <c r="B104" s="133" t="s">
        <v>3</v>
      </c>
      <c r="C104" s="133"/>
      <c r="D104" s="9">
        <v>0.16</v>
      </c>
      <c r="E104" s="8">
        <v>1.2</v>
      </c>
      <c r="F104" s="63">
        <v>1</v>
      </c>
      <c r="G104" s="10">
        <f t="shared" si="3"/>
        <v>0.192</v>
      </c>
      <c r="H104" s="22">
        <f t="shared" si="4"/>
        <v>9.0666666666666753</v>
      </c>
    </row>
    <row r="105" spans="1:8" x14ac:dyDescent="0.25">
      <c r="A105" s="4" t="s">
        <v>93</v>
      </c>
      <c r="B105" s="133" t="s">
        <v>3</v>
      </c>
      <c r="C105" s="133"/>
      <c r="D105" s="9">
        <v>0.155</v>
      </c>
      <c r="E105" s="8">
        <v>1.2</v>
      </c>
      <c r="F105" s="63">
        <v>1</v>
      </c>
      <c r="G105" s="10">
        <f t="shared" si="3"/>
        <v>0.186</v>
      </c>
      <c r="H105" s="22">
        <f t="shared" si="4"/>
        <v>8.7833333333333421</v>
      </c>
    </row>
    <row r="106" spans="1:8" x14ac:dyDescent="0.25">
      <c r="A106" s="3" t="s">
        <v>94</v>
      </c>
      <c r="B106" s="133" t="s">
        <v>3</v>
      </c>
      <c r="C106" s="133"/>
      <c r="D106" s="9">
        <v>0.15</v>
      </c>
      <c r="E106" s="8">
        <v>1.2</v>
      </c>
      <c r="F106" s="63">
        <v>1</v>
      </c>
      <c r="G106" s="10">
        <f t="shared" si="3"/>
        <v>0.18</v>
      </c>
      <c r="H106" s="22">
        <f t="shared" si="4"/>
        <v>8.5000000000000089</v>
      </c>
    </row>
    <row r="107" spans="1:8" x14ac:dyDescent="0.25">
      <c r="A107" s="4" t="s">
        <v>95</v>
      </c>
      <c r="B107" s="133" t="s">
        <v>3</v>
      </c>
      <c r="C107" s="133"/>
      <c r="D107" s="9">
        <v>0.14499999999999999</v>
      </c>
      <c r="E107" s="8">
        <v>1.2</v>
      </c>
      <c r="F107" s="63">
        <v>1</v>
      </c>
      <c r="G107" s="10">
        <f t="shared" si="3"/>
        <v>0.17399999999999999</v>
      </c>
      <c r="H107" s="22">
        <f t="shared" si="4"/>
        <v>8.2166666666666757</v>
      </c>
    </row>
    <row r="108" spans="1:8" x14ac:dyDescent="0.25">
      <c r="A108" s="4" t="s">
        <v>96</v>
      </c>
      <c r="B108" s="133" t="s">
        <v>3</v>
      </c>
      <c r="C108" s="133"/>
      <c r="D108" s="9">
        <v>0.14000000000000001</v>
      </c>
      <c r="E108" s="8">
        <v>1.2</v>
      </c>
      <c r="F108" s="63">
        <v>1</v>
      </c>
      <c r="G108" s="10">
        <f t="shared" si="3"/>
        <v>0.16800000000000001</v>
      </c>
      <c r="H108" s="22">
        <f t="shared" si="4"/>
        <v>7.9333333333333433</v>
      </c>
    </row>
    <row r="109" spans="1:8" x14ac:dyDescent="0.25">
      <c r="A109" s="4" t="s">
        <v>97</v>
      </c>
      <c r="B109" s="133" t="s">
        <v>3</v>
      </c>
      <c r="C109" s="133"/>
      <c r="D109" s="9">
        <v>0.13500000000000001</v>
      </c>
      <c r="E109" s="8">
        <v>1.2</v>
      </c>
      <c r="F109" s="63">
        <v>1</v>
      </c>
      <c r="G109" s="10">
        <f t="shared" si="3"/>
        <v>0.16200000000000001</v>
      </c>
      <c r="H109" s="22">
        <f t="shared" si="4"/>
        <v>7.6500000000000092</v>
      </c>
    </row>
    <row r="110" spans="1:8" x14ac:dyDescent="0.25">
      <c r="A110" s="4" t="s">
        <v>98</v>
      </c>
      <c r="B110" s="133" t="s">
        <v>3</v>
      </c>
      <c r="C110" s="133"/>
      <c r="D110" s="9">
        <v>0.13</v>
      </c>
      <c r="E110" s="8">
        <v>1.2</v>
      </c>
      <c r="F110" s="63">
        <v>1</v>
      </c>
      <c r="G110" s="10">
        <f t="shared" si="3"/>
        <v>0.156</v>
      </c>
      <c r="H110" s="22">
        <f t="shared" si="4"/>
        <v>7.3666666666666751</v>
      </c>
    </row>
    <row r="111" spans="1:8" x14ac:dyDescent="0.25">
      <c r="A111" s="3" t="s">
        <v>99</v>
      </c>
      <c r="B111" s="133" t="s">
        <v>3</v>
      </c>
      <c r="C111" s="133"/>
      <c r="D111" s="9">
        <v>0.125</v>
      </c>
      <c r="E111" s="8">
        <v>1.2</v>
      </c>
      <c r="F111" s="63">
        <v>1</v>
      </c>
      <c r="G111" s="10">
        <f t="shared" si="3"/>
        <v>0.15</v>
      </c>
      <c r="H111" s="22">
        <f t="shared" si="4"/>
        <v>7.0833333333333419</v>
      </c>
    </row>
    <row r="112" spans="1:8" x14ac:dyDescent="0.25">
      <c r="A112" s="4" t="s">
        <v>100</v>
      </c>
      <c r="B112" s="133" t="s">
        <v>3</v>
      </c>
      <c r="C112" s="133"/>
      <c r="D112" s="9">
        <v>0.12</v>
      </c>
      <c r="E112" s="8">
        <v>1.2</v>
      </c>
      <c r="F112" s="63">
        <v>1</v>
      </c>
      <c r="G112" s="10">
        <f t="shared" si="3"/>
        <v>0.14399999999999999</v>
      </c>
      <c r="H112" s="22">
        <f t="shared" si="4"/>
        <v>6.8000000000000078</v>
      </c>
    </row>
    <row r="113" spans="1:8" x14ac:dyDescent="0.25">
      <c r="A113" s="4" t="s">
        <v>101</v>
      </c>
      <c r="B113" s="133" t="s">
        <v>3</v>
      </c>
      <c r="C113" s="133"/>
      <c r="D113" s="9">
        <v>0.115</v>
      </c>
      <c r="E113" s="8">
        <v>1.2</v>
      </c>
      <c r="F113" s="63">
        <v>1</v>
      </c>
      <c r="G113" s="10">
        <f t="shared" si="3"/>
        <v>0.13800000000000001</v>
      </c>
      <c r="H113" s="22">
        <f t="shared" si="4"/>
        <v>6.5166666666666746</v>
      </c>
    </row>
    <row r="114" spans="1:8" x14ac:dyDescent="0.25">
      <c r="A114" s="4" t="s">
        <v>102</v>
      </c>
      <c r="B114" s="133" t="s">
        <v>3</v>
      </c>
      <c r="C114" s="133"/>
      <c r="D114" s="9">
        <v>0.11</v>
      </c>
      <c r="E114" s="8">
        <v>1.2</v>
      </c>
      <c r="F114" s="63">
        <v>1</v>
      </c>
      <c r="G114" s="10">
        <f t="shared" si="3"/>
        <v>0.13200000000000001</v>
      </c>
      <c r="H114" s="22">
        <f t="shared" si="4"/>
        <v>6.2333333333333405</v>
      </c>
    </row>
    <row r="115" spans="1:8" x14ac:dyDescent="0.25">
      <c r="A115" s="4" t="s">
        <v>103</v>
      </c>
      <c r="B115" s="133" t="s">
        <v>3</v>
      </c>
      <c r="C115" s="133"/>
      <c r="D115" s="9">
        <v>0.105</v>
      </c>
      <c r="E115" s="8">
        <v>1.2</v>
      </c>
      <c r="F115" s="63">
        <v>1</v>
      </c>
      <c r="G115" s="10">
        <f t="shared" si="3"/>
        <v>0.126</v>
      </c>
      <c r="H115" s="22">
        <f t="shared" si="4"/>
        <v>5.9500000000000064</v>
      </c>
    </row>
    <row r="116" spans="1:8" x14ac:dyDescent="0.25">
      <c r="A116" s="3" t="s">
        <v>104</v>
      </c>
      <c r="B116" s="133" t="s">
        <v>3</v>
      </c>
      <c r="C116" s="133"/>
      <c r="D116" s="9">
        <v>0.1</v>
      </c>
      <c r="E116" s="8">
        <v>1.2</v>
      </c>
      <c r="F116" s="63">
        <v>1</v>
      </c>
      <c r="G116" s="10">
        <f t="shared" si="3"/>
        <v>0.12</v>
      </c>
      <c r="H116" s="22">
        <f t="shared" si="4"/>
        <v>5.6666666666666723</v>
      </c>
    </row>
    <row r="117" spans="1:8" x14ac:dyDescent="0.25">
      <c r="A117" s="4" t="s">
        <v>105</v>
      </c>
      <c r="B117" s="133" t="s">
        <v>3</v>
      </c>
      <c r="C117" s="133"/>
      <c r="D117" s="9">
        <v>9.5000000000000001E-2</v>
      </c>
      <c r="E117" s="8">
        <v>1.2</v>
      </c>
      <c r="F117" s="63">
        <v>1</v>
      </c>
      <c r="G117" s="10">
        <f t="shared" si="3"/>
        <v>0.11399999999999999</v>
      </c>
      <c r="H117" s="22">
        <f t="shared" si="4"/>
        <v>5.3833333333333382</v>
      </c>
    </row>
    <row r="118" spans="1:8" x14ac:dyDescent="0.25">
      <c r="A118" s="4" t="s">
        <v>106</v>
      </c>
      <c r="B118" s="133" t="s">
        <v>3</v>
      </c>
      <c r="C118" s="133"/>
      <c r="D118" s="9">
        <v>0.09</v>
      </c>
      <c r="E118" s="8">
        <v>1.2</v>
      </c>
      <c r="F118" s="63">
        <v>1</v>
      </c>
      <c r="G118" s="10">
        <f t="shared" si="3"/>
        <v>0.108</v>
      </c>
      <c r="H118" s="22">
        <f t="shared" si="4"/>
        <v>5.100000000000005</v>
      </c>
    </row>
    <row r="119" spans="1:8" x14ac:dyDescent="0.25">
      <c r="A119" s="4" t="s">
        <v>107</v>
      </c>
      <c r="B119" s="133" t="s">
        <v>3</v>
      </c>
      <c r="C119" s="133"/>
      <c r="D119" s="9">
        <v>8.5000000000000006E-2</v>
      </c>
      <c r="E119" s="8">
        <v>1.2</v>
      </c>
      <c r="F119" s="63">
        <v>1</v>
      </c>
      <c r="G119" s="10">
        <f t="shared" si="3"/>
        <v>0.10200000000000001</v>
      </c>
      <c r="H119" s="22">
        <f t="shared" si="4"/>
        <v>4.8166666666666718</v>
      </c>
    </row>
    <row r="120" spans="1:8" x14ac:dyDescent="0.25">
      <c r="A120" s="4" t="s">
        <v>108</v>
      </c>
      <c r="B120" s="133" t="s">
        <v>3</v>
      </c>
      <c r="C120" s="133"/>
      <c r="D120" s="9">
        <v>0.08</v>
      </c>
      <c r="E120" s="8">
        <v>1.2</v>
      </c>
      <c r="F120" s="63">
        <v>1</v>
      </c>
      <c r="G120" s="10">
        <f t="shared" si="3"/>
        <v>9.6000000000000002E-2</v>
      </c>
      <c r="H120" s="22">
        <f t="shared" si="4"/>
        <v>4.5333333333333377</v>
      </c>
    </row>
    <row r="121" spans="1:8" x14ac:dyDescent="0.25">
      <c r="A121" s="3" t="s">
        <v>109</v>
      </c>
      <c r="B121" s="133" t="s">
        <v>3</v>
      </c>
      <c r="C121" s="133"/>
      <c r="D121" s="9">
        <v>7.4999999999999997E-2</v>
      </c>
      <c r="E121" s="8">
        <v>1.2</v>
      </c>
      <c r="F121" s="63">
        <v>1</v>
      </c>
      <c r="G121" s="10">
        <f t="shared" si="3"/>
        <v>0.09</v>
      </c>
      <c r="H121" s="22">
        <f t="shared" si="4"/>
        <v>4.2500000000000036</v>
      </c>
    </row>
    <row r="122" spans="1:8" x14ac:dyDescent="0.25">
      <c r="A122" s="4" t="s">
        <v>110</v>
      </c>
      <c r="B122" s="133" t="s">
        <v>3</v>
      </c>
      <c r="C122" s="133"/>
      <c r="D122" s="9">
        <v>7.0000000000000007E-2</v>
      </c>
      <c r="E122" s="8">
        <v>1.2</v>
      </c>
      <c r="F122" s="63">
        <v>1</v>
      </c>
      <c r="G122" s="10">
        <f t="shared" si="3"/>
        <v>8.4000000000000005E-2</v>
      </c>
      <c r="H122" s="22">
        <f t="shared" si="4"/>
        <v>3.9666666666666703</v>
      </c>
    </row>
    <row r="123" spans="1:8" x14ac:dyDescent="0.25">
      <c r="A123" s="4" t="s">
        <v>111</v>
      </c>
      <c r="B123" s="133" t="s">
        <v>3</v>
      </c>
      <c r="C123" s="133"/>
      <c r="D123" s="9">
        <v>6.4999999999999905E-2</v>
      </c>
      <c r="E123" s="8">
        <v>1.2</v>
      </c>
      <c r="F123" s="63">
        <v>1</v>
      </c>
      <c r="G123" s="10">
        <f t="shared" si="3"/>
        <v>7.7999999999999889E-2</v>
      </c>
      <c r="H123" s="22">
        <f t="shared" si="4"/>
        <v>3.6833333333333313</v>
      </c>
    </row>
    <row r="124" spans="1:8" x14ac:dyDescent="0.25">
      <c r="A124" s="4" t="s">
        <v>112</v>
      </c>
      <c r="B124" s="133" t="s">
        <v>3</v>
      </c>
      <c r="C124" s="133"/>
      <c r="D124" s="9">
        <v>5.9999999999999901E-2</v>
      </c>
      <c r="E124" s="8">
        <v>1.2</v>
      </c>
      <c r="F124" s="63">
        <v>1</v>
      </c>
      <c r="G124" s="10">
        <f t="shared" si="3"/>
        <v>7.1999999999999884E-2</v>
      </c>
      <c r="H124" s="22">
        <f t="shared" si="4"/>
        <v>3.3999999999999977</v>
      </c>
    </row>
    <row r="125" spans="1:8" x14ac:dyDescent="0.25">
      <c r="A125" s="4" t="s">
        <v>113</v>
      </c>
      <c r="B125" s="133" t="s">
        <v>3</v>
      </c>
      <c r="C125" s="133"/>
      <c r="D125" s="9">
        <v>5.4999999999999903E-2</v>
      </c>
      <c r="E125" s="8">
        <v>1.2</v>
      </c>
      <c r="F125" s="63">
        <v>1</v>
      </c>
      <c r="G125" s="10">
        <f t="shared" si="3"/>
        <v>6.5999999999999878E-2</v>
      </c>
      <c r="H125" s="22">
        <f t="shared" si="4"/>
        <v>3.116666666666664</v>
      </c>
    </row>
    <row r="126" spans="1:8" x14ac:dyDescent="0.25">
      <c r="A126" s="3" t="s">
        <v>114</v>
      </c>
      <c r="B126" s="133" t="s">
        <v>3</v>
      </c>
      <c r="C126" s="133"/>
      <c r="D126" s="9">
        <v>4.9999999999999899E-2</v>
      </c>
      <c r="E126" s="8">
        <v>1.2</v>
      </c>
      <c r="F126" s="63">
        <v>1</v>
      </c>
      <c r="G126" s="10">
        <f t="shared" si="3"/>
        <v>5.9999999999999873E-2</v>
      </c>
      <c r="H126" s="22">
        <f t="shared" si="4"/>
        <v>2.8333333333333299</v>
      </c>
    </row>
    <row r="127" spans="1:8" x14ac:dyDescent="0.25">
      <c r="A127" s="3"/>
      <c r="B127" s="64"/>
      <c r="C127" s="64"/>
      <c r="D127" s="65"/>
      <c r="E127" s="66"/>
      <c r="F127" s="53"/>
      <c r="G127" s="67"/>
      <c r="H127" s="68"/>
    </row>
    <row r="128" spans="1:8" x14ac:dyDescent="0.25">
      <c r="A128" s="3"/>
      <c r="B128" s="123" t="s">
        <v>151</v>
      </c>
      <c r="C128" s="124"/>
      <c r="D128" s="124"/>
      <c r="E128" s="124"/>
      <c r="F128" s="124"/>
      <c r="G128" s="124"/>
      <c r="H128" s="125"/>
    </row>
    <row r="129" spans="1:8" x14ac:dyDescent="0.25">
      <c r="A129" s="3"/>
      <c r="B129" s="126"/>
      <c r="C129" s="127"/>
      <c r="D129" s="127"/>
      <c r="E129" s="127"/>
      <c r="F129" s="127"/>
      <c r="G129" s="127"/>
      <c r="H129" s="128"/>
    </row>
    <row r="131" spans="1:8" x14ac:dyDescent="0.25">
      <c r="B131" s="135" t="s">
        <v>0</v>
      </c>
      <c r="C131" s="135"/>
      <c r="D131" s="135"/>
      <c r="E131" s="135"/>
      <c r="F131" s="12" t="s">
        <v>1</v>
      </c>
      <c r="G131" s="11" t="s">
        <v>116</v>
      </c>
      <c r="H131" s="11" t="s">
        <v>156</v>
      </c>
    </row>
    <row r="132" spans="1:8" ht="6" customHeight="1" x14ac:dyDescent="0.25"/>
    <row r="133" spans="1:8" x14ac:dyDescent="0.25">
      <c r="A133" s="40" t="s">
        <v>144</v>
      </c>
      <c r="B133" s="129" t="s">
        <v>121</v>
      </c>
      <c r="C133" s="129"/>
      <c r="D133" s="129"/>
      <c r="E133" s="129"/>
      <c r="F133" s="15">
        <v>1</v>
      </c>
      <c r="G133" s="14">
        <v>0.33</v>
      </c>
      <c r="H133" s="14">
        <f>$F133*$G133</f>
        <v>0.33</v>
      </c>
    </row>
    <row r="134" spans="1:8" x14ac:dyDescent="0.25">
      <c r="A134" s="40" t="s">
        <v>143</v>
      </c>
      <c r="B134" s="129" t="s">
        <v>129</v>
      </c>
      <c r="C134" s="129"/>
      <c r="D134" s="129"/>
      <c r="E134" s="44">
        <v>0.6</v>
      </c>
      <c r="F134" s="15">
        <v>1</v>
      </c>
      <c r="G134" s="14">
        <v>2.5000000000000001E-2</v>
      </c>
      <c r="H134" s="14">
        <f t="shared" ref="H134:H153" si="5">$F134*$G134</f>
        <v>2.5000000000000001E-2</v>
      </c>
    </row>
    <row r="135" spans="1:8" x14ac:dyDescent="0.25">
      <c r="A135" s="40" t="s">
        <v>143</v>
      </c>
      <c r="B135" s="129" t="s">
        <v>129</v>
      </c>
      <c r="C135" s="129"/>
      <c r="D135" s="129"/>
      <c r="E135" s="62">
        <v>1.2</v>
      </c>
      <c r="F135" s="15">
        <v>1</v>
      </c>
      <c r="G135" s="14">
        <f t="shared" ref="G135:G136" si="6">$E135*$H134/$E134</f>
        <v>0.05</v>
      </c>
      <c r="H135" s="14">
        <f t="shared" si="5"/>
        <v>0.05</v>
      </c>
    </row>
    <row r="136" spans="1:8" x14ac:dyDescent="0.25">
      <c r="A136" s="40" t="s">
        <v>143</v>
      </c>
      <c r="B136" s="129" t="s">
        <v>129</v>
      </c>
      <c r="C136" s="129"/>
      <c r="D136" s="129"/>
      <c r="E136" s="42">
        <v>2.4</v>
      </c>
      <c r="F136" s="15">
        <v>1</v>
      </c>
      <c r="G136" s="14">
        <f t="shared" si="6"/>
        <v>0.1</v>
      </c>
      <c r="H136" s="14">
        <f t="shared" si="5"/>
        <v>0.1</v>
      </c>
    </row>
    <row r="137" spans="1:8" x14ac:dyDescent="0.25">
      <c r="A137" s="40" t="s">
        <v>145</v>
      </c>
      <c r="B137" s="129" t="s">
        <v>122</v>
      </c>
      <c r="C137" s="129"/>
      <c r="D137" s="129"/>
      <c r="E137" s="129"/>
      <c r="F137" s="15">
        <v>1</v>
      </c>
      <c r="G137" s="14">
        <v>0.7</v>
      </c>
      <c r="H137" s="14">
        <f t="shared" si="5"/>
        <v>0.7</v>
      </c>
    </row>
    <row r="138" spans="1:8" x14ac:dyDescent="0.25">
      <c r="A138" s="40" t="s">
        <v>146</v>
      </c>
      <c r="B138" s="129" t="s">
        <v>127</v>
      </c>
      <c r="C138" s="129"/>
      <c r="D138" s="129"/>
      <c r="E138" s="45">
        <v>6</v>
      </c>
      <c r="F138" s="15">
        <v>1</v>
      </c>
      <c r="G138" s="14">
        <v>40</v>
      </c>
      <c r="H138" s="14">
        <f t="shared" si="5"/>
        <v>40</v>
      </c>
    </row>
    <row r="139" spans="1:8" x14ac:dyDescent="0.25">
      <c r="A139" s="40" t="s">
        <v>146</v>
      </c>
      <c r="B139" s="129" t="s">
        <v>127</v>
      </c>
      <c r="C139" s="129"/>
      <c r="D139" s="129"/>
      <c r="E139" s="61">
        <v>5</v>
      </c>
      <c r="F139" s="15">
        <v>1</v>
      </c>
      <c r="G139" s="14">
        <f>$E139*$H138/$E138</f>
        <v>33.333333333333336</v>
      </c>
      <c r="H139" s="14">
        <f t="shared" si="5"/>
        <v>33.333333333333336</v>
      </c>
    </row>
    <row r="140" spans="1:8" x14ac:dyDescent="0.25">
      <c r="A140" s="40" t="s">
        <v>146</v>
      </c>
      <c r="B140" s="129" t="s">
        <v>127</v>
      </c>
      <c r="C140" s="129"/>
      <c r="D140" s="129"/>
      <c r="E140" s="61">
        <v>4</v>
      </c>
      <c r="F140" s="15">
        <v>1</v>
      </c>
      <c r="G140" s="14">
        <f t="shared" ref="G140:H161" si="7">$E140*$H139/$E139</f>
        <v>26.666666666666668</v>
      </c>
      <c r="H140" s="14">
        <f t="shared" si="5"/>
        <v>26.666666666666668</v>
      </c>
    </row>
    <row r="141" spans="1:8" x14ac:dyDescent="0.25">
      <c r="A141" s="40" t="s">
        <v>146</v>
      </c>
      <c r="B141" s="129" t="s">
        <v>127</v>
      </c>
      <c r="C141" s="129"/>
      <c r="D141" s="129"/>
      <c r="E141" s="61">
        <v>3</v>
      </c>
      <c r="F141" s="15">
        <v>1</v>
      </c>
      <c r="G141" s="14">
        <f t="shared" si="7"/>
        <v>20</v>
      </c>
      <c r="H141" s="14">
        <f t="shared" si="5"/>
        <v>20</v>
      </c>
    </row>
    <row r="142" spans="1:8" x14ac:dyDescent="0.25">
      <c r="A142" s="40" t="s">
        <v>146</v>
      </c>
      <c r="B142" s="129" t="s">
        <v>127</v>
      </c>
      <c r="C142" s="129"/>
      <c r="D142" s="129"/>
      <c r="E142" s="61">
        <v>2</v>
      </c>
      <c r="F142" s="15">
        <v>1</v>
      </c>
      <c r="G142" s="14">
        <f t="shared" si="7"/>
        <v>13.333333333333334</v>
      </c>
      <c r="H142" s="14">
        <f t="shared" si="5"/>
        <v>13.333333333333334</v>
      </c>
    </row>
    <row r="143" spans="1:8" x14ac:dyDescent="0.25">
      <c r="A143" s="40" t="s">
        <v>146</v>
      </c>
      <c r="B143" s="129" t="s">
        <v>127</v>
      </c>
      <c r="C143" s="129"/>
      <c r="D143" s="129"/>
      <c r="E143" s="43">
        <v>1</v>
      </c>
      <c r="F143" s="15">
        <v>1</v>
      </c>
      <c r="G143" s="14">
        <f t="shared" si="7"/>
        <v>6.666666666666667</v>
      </c>
      <c r="H143" s="14">
        <f t="shared" si="5"/>
        <v>6.666666666666667</v>
      </c>
    </row>
    <row r="144" spans="1:8" x14ac:dyDescent="0.25">
      <c r="A144" s="40" t="s">
        <v>147</v>
      </c>
      <c r="B144" s="129" t="s">
        <v>130</v>
      </c>
      <c r="C144" s="129"/>
      <c r="D144" s="129"/>
      <c r="E144" s="129"/>
      <c r="F144" s="15">
        <v>1</v>
      </c>
      <c r="G144" s="14">
        <v>7.0000000000000007E-2</v>
      </c>
      <c r="H144" s="14">
        <f t="shared" si="5"/>
        <v>7.0000000000000007E-2</v>
      </c>
    </row>
    <row r="145" spans="1:8" x14ac:dyDescent="0.25">
      <c r="A145" s="40" t="s">
        <v>169</v>
      </c>
      <c r="B145" s="129" t="s">
        <v>168</v>
      </c>
      <c r="C145" s="129"/>
      <c r="D145" s="129"/>
      <c r="E145" s="129"/>
      <c r="F145" s="15">
        <v>1</v>
      </c>
      <c r="G145" s="14">
        <v>0.35</v>
      </c>
      <c r="H145" s="14">
        <f t="shared" si="5"/>
        <v>0.35</v>
      </c>
    </row>
    <row r="146" spans="1:8" x14ac:dyDescent="0.25">
      <c r="A146" s="40" t="s">
        <v>148</v>
      </c>
      <c r="B146" s="129" t="s">
        <v>128</v>
      </c>
      <c r="C146" s="129"/>
      <c r="D146" s="129"/>
      <c r="E146" s="46">
        <v>0.08</v>
      </c>
      <c r="F146" s="15">
        <v>1</v>
      </c>
      <c r="G146" s="14">
        <v>0.09</v>
      </c>
      <c r="H146" s="14">
        <f t="shared" si="5"/>
        <v>0.09</v>
      </c>
    </row>
    <row r="147" spans="1:8" x14ac:dyDescent="0.25">
      <c r="A147" s="40" t="s">
        <v>148</v>
      </c>
      <c r="B147" s="129" t="s">
        <v>128</v>
      </c>
      <c r="C147" s="129"/>
      <c r="D147" s="129"/>
      <c r="E147" s="14">
        <v>0.1</v>
      </c>
      <c r="F147" s="15">
        <v>1</v>
      </c>
      <c r="G147" s="14">
        <f t="shared" si="7"/>
        <v>0.11249999999999999</v>
      </c>
      <c r="H147" s="14">
        <f t="shared" si="5"/>
        <v>0.11249999999999999</v>
      </c>
    </row>
    <row r="148" spans="1:8" x14ac:dyDescent="0.25">
      <c r="A148" s="40" t="s">
        <v>148</v>
      </c>
      <c r="B148" s="129" t="s">
        <v>128</v>
      </c>
      <c r="C148" s="129"/>
      <c r="D148" s="129"/>
      <c r="E148" s="14">
        <v>0.12</v>
      </c>
      <c r="F148" s="15">
        <v>1</v>
      </c>
      <c r="G148" s="14">
        <f t="shared" si="7"/>
        <v>0.13499999999999998</v>
      </c>
      <c r="H148" s="14">
        <f t="shared" si="5"/>
        <v>0.13499999999999998</v>
      </c>
    </row>
    <row r="149" spans="1:8" x14ac:dyDescent="0.25">
      <c r="A149" s="40" t="s">
        <v>148</v>
      </c>
      <c r="B149" s="129" t="s">
        <v>128</v>
      </c>
      <c r="C149" s="129"/>
      <c r="D149" s="129"/>
      <c r="E149" s="14">
        <v>0.15</v>
      </c>
      <c r="F149" s="15">
        <v>1</v>
      </c>
      <c r="G149" s="14">
        <f t="shared" si="7"/>
        <v>0.16874999999999998</v>
      </c>
      <c r="H149" s="14">
        <f t="shared" si="5"/>
        <v>0.16874999999999998</v>
      </c>
    </row>
    <row r="150" spans="1:8" x14ac:dyDescent="0.25">
      <c r="A150" s="40" t="s">
        <v>148</v>
      </c>
      <c r="B150" s="129" t="s">
        <v>128</v>
      </c>
      <c r="C150" s="129"/>
      <c r="D150" s="129"/>
      <c r="E150" s="14">
        <v>0.2</v>
      </c>
      <c r="F150" s="15">
        <v>1</v>
      </c>
      <c r="G150" s="14">
        <f t="shared" si="7"/>
        <v>0.22499999999999998</v>
      </c>
      <c r="H150" s="14">
        <f t="shared" si="5"/>
        <v>0.22499999999999998</v>
      </c>
    </row>
    <row r="151" spans="1:8" x14ac:dyDescent="0.25">
      <c r="A151" s="40" t="s">
        <v>148</v>
      </c>
      <c r="B151" s="129" t="s">
        <v>128</v>
      </c>
      <c r="C151" s="129"/>
      <c r="D151" s="129"/>
      <c r="E151" s="14">
        <v>0.3</v>
      </c>
      <c r="F151" s="15">
        <v>1</v>
      </c>
      <c r="G151" s="14">
        <f t="shared" si="7"/>
        <v>0.33749999999999991</v>
      </c>
      <c r="H151" s="14">
        <f t="shared" si="5"/>
        <v>0.33749999999999991</v>
      </c>
    </row>
    <row r="152" spans="1:8" x14ac:dyDescent="0.25">
      <c r="A152" s="40" t="s">
        <v>148</v>
      </c>
      <c r="B152" s="129" t="s">
        <v>128</v>
      </c>
      <c r="C152" s="129"/>
      <c r="D152" s="129"/>
      <c r="E152" s="14">
        <v>0.4</v>
      </c>
      <c r="F152" s="15">
        <v>1</v>
      </c>
      <c r="G152" s="14">
        <f t="shared" si="7"/>
        <v>0.44999999999999996</v>
      </c>
      <c r="H152" s="14">
        <f t="shared" si="5"/>
        <v>0.44999999999999996</v>
      </c>
    </row>
    <row r="153" spans="1:8" x14ac:dyDescent="0.25">
      <c r="A153" s="40" t="s">
        <v>148</v>
      </c>
      <c r="B153" s="129" t="s">
        <v>128</v>
      </c>
      <c r="C153" s="129"/>
      <c r="D153" s="129"/>
      <c r="E153" s="14">
        <v>0.45</v>
      </c>
      <c r="F153" s="25">
        <v>1</v>
      </c>
      <c r="G153" s="14">
        <f t="shared" si="7"/>
        <v>0.50624999999999998</v>
      </c>
      <c r="H153" s="14">
        <f t="shared" si="5"/>
        <v>0.50624999999999998</v>
      </c>
    </row>
    <row r="154" spans="1:8" hidden="1" x14ac:dyDescent="0.25">
      <c r="C154" s="130" t="s">
        <v>128</v>
      </c>
      <c r="D154" s="131"/>
      <c r="E154" s="13">
        <v>0.5</v>
      </c>
      <c r="F154" s="1">
        <v>0</v>
      </c>
      <c r="G154" s="13" t="s">
        <v>115</v>
      </c>
      <c r="H154" s="13">
        <f t="shared" si="7"/>
        <v>0.5625</v>
      </c>
    </row>
    <row r="155" spans="1:8" hidden="1" x14ac:dyDescent="0.25">
      <c r="C155" s="117" t="s">
        <v>128</v>
      </c>
      <c r="D155" s="119"/>
      <c r="E155" s="13">
        <v>0.6</v>
      </c>
      <c r="F155" s="1">
        <v>0</v>
      </c>
      <c r="G155" s="13" t="s">
        <v>115</v>
      </c>
      <c r="H155" s="13">
        <f t="shared" si="7"/>
        <v>0.67499999999999993</v>
      </c>
    </row>
    <row r="156" spans="1:8" hidden="1" x14ac:dyDescent="0.25">
      <c r="C156" s="117" t="s">
        <v>128</v>
      </c>
      <c r="D156" s="119"/>
      <c r="E156" s="13">
        <v>0.7</v>
      </c>
      <c r="F156" s="1">
        <v>0</v>
      </c>
      <c r="G156" s="13" t="s">
        <v>115</v>
      </c>
      <c r="H156" s="13">
        <f t="shared" si="7"/>
        <v>0.78749999999999987</v>
      </c>
    </row>
    <row r="157" spans="1:8" hidden="1" x14ac:dyDescent="0.25">
      <c r="C157" s="117" t="s">
        <v>128</v>
      </c>
      <c r="D157" s="119"/>
      <c r="E157" s="13">
        <v>0.8</v>
      </c>
      <c r="F157" s="1">
        <v>0</v>
      </c>
      <c r="G157" s="13" t="s">
        <v>115</v>
      </c>
      <c r="H157" s="13">
        <f t="shared" si="7"/>
        <v>0.89999999999999991</v>
      </c>
    </row>
    <row r="158" spans="1:8" hidden="1" x14ac:dyDescent="0.25">
      <c r="C158" s="117" t="s">
        <v>128</v>
      </c>
      <c r="D158" s="119"/>
      <c r="E158" s="13">
        <v>0.9</v>
      </c>
      <c r="F158" s="1">
        <v>0</v>
      </c>
      <c r="G158" s="13" t="s">
        <v>115</v>
      </c>
      <c r="H158" s="13">
        <f t="shared" si="7"/>
        <v>1.0125</v>
      </c>
    </row>
    <row r="159" spans="1:8" hidden="1" x14ac:dyDescent="0.25">
      <c r="C159" s="117" t="s">
        <v>128</v>
      </c>
      <c r="D159" s="119"/>
      <c r="E159" s="13">
        <v>1</v>
      </c>
      <c r="F159" s="1">
        <v>0</v>
      </c>
      <c r="G159" s="13" t="s">
        <v>115</v>
      </c>
      <c r="H159" s="13">
        <f t="shared" si="7"/>
        <v>1.125</v>
      </c>
    </row>
    <row r="160" spans="1:8" hidden="1" x14ac:dyDescent="0.25">
      <c r="C160" s="117" t="s">
        <v>128</v>
      </c>
      <c r="D160" s="119"/>
      <c r="E160" s="13">
        <v>1.1000000000000001</v>
      </c>
      <c r="F160" s="1">
        <v>0</v>
      </c>
      <c r="G160" s="13" t="s">
        <v>115</v>
      </c>
      <c r="H160" s="13">
        <f t="shared" si="7"/>
        <v>1.2375</v>
      </c>
    </row>
    <row r="161" spans="1:8" hidden="1" x14ac:dyDescent="0.25">
      <c r="C161" s="117" t="s">
        <v>128</v>
      </c>
      <c r="D161" s="119"/>
      <c r="E161" s="14">
        <v>1.2</v>
      </c>
      <c r="F161" s="1">
        <v>0</v>
      </c>
      <c r="G161" s="13" t="s">
        <v>115</v>
      </c>
      <c r="H161" s="13">
        <f t="shared" si="7"/>
        <v>1.35</v>
      </c>
    </row>
    <row r="162" spans="1:8" hidden="1" x14ac:dyDescent="0.25">
      <c r="C162" s="129" t="s">
        <v>126</v>
      </c>
      <c r="D162" s="129"/>
      <c r="E162" s="129"/>
      <c r="F162" s="1">
        <v>0</v>
      </c>
      <c r="G162" s="13" t="s">
        <v>115</v>
      </c>
      <c r="H162" s="13">
        <v>0.04</v>
      </c>
    </row>
    <row r="163" spans="1:8" hidden="1" x14ac:dyDescent="0.25">
      <c r="C163" s="129" t="s">
        <v>123</v>
      </c>
      <c r="D163" s="129"/>
      <c r="E163" s="129"/>
      <c r="F163" s="1">
        <v>0</v>
      </c>
      <c r="G163" s="13" t="s">
        <v>115</v>
      </c>
      <c r="H163" s="13">
        <v>7.0000000000000007E-2</v>
      </c>
    </row>
    <row r="164" spans="1:8" hidden="1" x14ac:dyDescent="0.25">
      <c r="C164" s="129" t="s">
        <v>124</v>
      </c>
      <c r="D164" s="129"/>
      <c r="E164" s="129"/>
      <c r="F164" s="1">
        <v>0</v>
      </c>
      <c r="G164" s="13" t="s">
        <v>115</v>
      </c>
      <c r="H164" s="13">
        <v>0.09</v>
      </c>
    </row>
    <row r="165" spans="1:8" hidden="1" x14ac:dyDescent="0.25">
      <c r="C165" s="129" t="s">
        <v>125</v>
      </c>
      <c r="D165" s="129"/>
      <c r="E165" s="129"/>
      <c r="F165" s="1">
        <v>0</v>
      </c>
      <c r="G165" s="13" t="s">
        <v>115</v>
      </c>
      <c r="H165" s="24">
        <v>3</v>
      </c>
    </row>
    <row r="166" spans="1:8" x14ac:dyDescent="0.25">
      <c r="A166" s="40" t="s">
        <v>157</v>
      </c>
      <c r="B166" s="117" t="s">
        <v>158</v>
      </c>
      <c r="C166" s="118"/>
      <c r="D166" s="118"/>
      <c r="E166" s="119"/>
      <c r="F166" s="15">
        <v>1</v>
      </c>
      <c r="G166" s="14">
        <v>12</v>
      </c>
      <c r="H166" s="14">
        <f t="shared" ref="H166:H171" si="8">$F166*$G166</f>
        <v>12</v>
      </c>
    </row>
    <row r="167" spans="1:8" x14ac:dyDescent="0.25">
      <c r="A167" s="40" t="s">
        <v>162</v>
      </c>
      <c r="B167" s="117" t="s">
        <v>124</v>
      </c>
      <c r="C167" s="118"/>
      <c r="D167" s="118"/>
      <c r="E167" s="119"/>
      <c r="F167" s="15">
        <v>1</v>
      </c>
      <c r="G167" s="14">
        <v>0.9</v>
      </c>
      <c r="H167" s="14">
        <f t="shared" si="8"/>
        <v>0.9</v>
      </c>
    </row>
    <row r="168" spans="1:8" x14ac:dyDescent="0.25">
      <c r="A168" s="40" t="s">
        <v>163</v>
      </c>
      <c r="B168" s="120" t="s">
        <v>159</v>
      </c>
      <c r="C168" s="121"/>
      <c r="D168" s="121"/>
      <c r="E168" s="122"/>
      <c r="F168" s="15">
        <v>1</v>
      </c>
      <c r="G168" s="14">
        <v>16</v>
      </c>
      <c r="H168" s="14">
        <f t="shared" si="8"/>
        <v>16</v>
      </c>
    </row>
    <row r="169" spans="1:8" x14ac:dyDescent="0.25">
      <c r="A169" s="40" t="s">
        <v>165</v>
      </c>
      <c r="B169" s="120" t="s">
        <v>164</v>
      </c>
      <c r="C169" s="121"/>
      <c r="D169" s="121"/>
      <c r="E169" s="122"/>
      <c r="F169" s="15">
        <v>1</v>
      </c>
      <c r="G169" s="14">
        <v>0.4</v>
      </c>
      <c r="H169" s="14">
        <f t="shared" si="8"/>
        <v>0.4</v>
      </c>
    </row>
    <row r="170" spans="1:8" x14ac:dyDescent="0.25">
      <c r="A170" s="40" t="s">
        <v>166</v>
      </c>
      <c r="B170" s="120" t="s">
        <v>160</v>
      </c>
      <c r="C170" s="121"/>
      <c r="D170" s="121"/>
      <c r="E170" s="122"/>
      <c r="F170" s="15">
        <v>1</v>
      </c>
      <c r="G170" s="14">
        <v>7.0000000000000007E-2</v>
      </c>
      <c r="H170" s="14">
        <f t="shared" si="8"/>
        <v>7.0000000000000007E-2</v>
      </c>
    </row>
    <row r="171" spans="1:8" x14ac:dyDescent="0.25">
      <c r="A171" s="40" t="s">
        <v>167</v>
      </c>
      <c r="B171" s="120" t="s">
        <v>161</v>
      </c>
      <c r="C171" s="121"/>
      <c r="D171" s="121"/>
      <c r="E171" s="122"/>
      <c r="F171" s="15">
        <v>1</v>
      </c>
      <c r="G171" s="14">
        <v>3</v>
      </c>
      <c r="H171" s="14">
        <f t="shared" si="8"/>
        <v>3</v>
      </c>
    </row>
  </sheetData>
  <mergeCells count="154">
    <mergeCell ref="B131:E131"/>
    <mergeCell ref="B135:D135"/>
    <mergeCell ref="B134:D134"/>
    <mergeCell ref="B133:E133"/>
    <mergeCell ref="B138:D138"/>
    <mergeCell ref="B137:E137"/>
    <mergeCell ref="B136:D136"/>
    <mergeCell ref="B153:D153"/>
    <mergeCell ref="B152:D152"/>
    <mergeCell ref="B151:D151"/>
    <mergeCell ref="B150:D150"/>
    <mergeCell ref="B149:D149"/>
    <mergeCell ref="B148:D148"/>
    <mergeCell ref="B147:D147"/>
    <mergeCell ref="B146:D146"/>
    <mergeCell ref="B145:E145"/>
    <mergeCell ref="B144:E144"/>
    <mergeCell ref="B122:C122"/>
    <mergeCell ref="B123:C123"/>
    <mergeCell ref="B124:C124"/>
    <mergeCell ref="B125:C125"/>
    <mergeCell ref="B126:C126"/>
    <mergeCell ref="B117:C117"/>
    <mergeCell ref="B118:C118"/>
    <mergeCell ref="B119:C119"/>
    <mergeCell ref="B120:C120"/>
    <mergeCell ref="B121:C121"/>
    <mergeCell ref="B112:C112"/>
    <mergeCell ref="B113:C113"/>
    <mergeCell ref="B114:C114"/>
    <mergeCell ref="B115:C115"/>
    <mergeCell ref="B116:C116"/>
    <mergeCell ref="B107:C107"/>
    <mergeCell ref="B108:C108"/>
    <mergeCell ref="B109:C109"/>
    <mergeCell ref="B110:C110"/>
    <mergeCell ref="B111:C111"/>
    <mergeCell ref="B102:C102"/>
    <mergeCell ref="B103:C103"/>
    <mergeCell ref="B104:C104"/>
    <mergeCell ref="B105:C105"/>
    <mergeCell ref="B106:C106"/>
    <mergeCell ref="B97:C97"/>
    <mergeCell ref="B98:C98"/>
    <mergeCell ref="B99:C99"/>
    <mergeCell ref="B100:C100"/>
    <mergeCell ref="B101:C101"/>
    <mergeCell ref="B92:C92"/>
    <mergeCell ref="B93:C93"/>
    <mergeCell ref="B94:C94"/>
    <mergeCell ref="B95:C95"/>
    <mergeCell ref="B96:C96"/>
    <mergeCell ref="B87:C87"/>
    <mergeCell ref="B88:C88"/>
    <mergeCell ref="B89:C89"/>
    <mergeCell ref="B90:C90"/>
    <mergeCell ref="B91:C91"/>
    <mergeCell ref="B82:C82"/>
    <mergeCell ref="B83:C83"/>
    <mergeCell ref="B84:C84"/>
    <mergeCell ref="B85:C85"/>
    <mergeCell ref="B86:C86"/>
    <mergeCell ref="B77:C77"/>
    <mergeCell ref="B78:C78"/>
    <mergeCell ref="B79:C79"/>
    <mergeCell ref="B80:C80"/>
    <mergeCell ref="B81:C81"/>
    <mergeCell ref="B72:C72"/>
    <mergeCell ref="B73:C73"/>
    <mergeCell ref="B74:C74"/>
    <mergeCell ref="B75:C75"/>
    <mergeCell ref="B76:C76"/>
    <mergeCell ref="B67:C67"/>
    <mergeCell ref="B68:C68"/>
    <mergeCell ref="B69:C69"/>
    <mergeCell ref="B70:C70"/>
    <mergeCell ref="B71:C71"/>
    <mergeCell ref="B62:C62"/>
    <mergeCell ref="B63:C63"/>
    <mergeCell ref="B64:C64"/>
    <mergeCell ref="B65:C65"/>
    <mergeCell ref="B66:C66"/>
    <mergeCell ref="B57:C57"/>
    <mergeCell ref="B58:C58"/>
    <mergeCell ref="B59:C59"/>
    <mergeCell ref="B60:C60"/>
    <mergeCell ref="B61:C61"/>
    <mergeCell ref="B36:C36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2:H9"/>
    <mergeCell ref="B17:C17"/>
    <mergeCell ref="B16:C16"/>
    <mergeCell ref="B21:C21"/>
    <mergeCell ref="B22:C22"/>
    <mergeCell ref="B23:C23"/>
    <mergeCell ref="B24:C24"/>
    <mergeCell ref="B25:C25"/>
    <mergeCell ref="B26:C26"/>
    <mergeCell ref="B12:E12"/>
    <mergeCell ref="B18:C18"/>
    <mergeCell ref="B19:C19"/>
    <mergeCell ref="B20:C20"/>
    <mergeCell ref="B166:E166"/>
    <mergeCell ref="B171:E171"/>
    <mergeCell ref="B170:E170"/>
    <mergeCell ref="B169:E169"/>
    <mergeCell ref="B168:E168"/>
    <mergeCell ref="B167:E167"/>
    <mergeCell ref="B128:H129"/>
    <mergeCell ref="C163:E163"/>
    <mergeCell ref="C164:E164"/>
    <mergeCell ref="C165:E165"/>
    <mergeCell ref="C162:E162"/>
    <mergeCell ref="C161:D161"/>
    <mergeCell ref="C154:D154"/>
    <mergeCell ref="C155:D155"/>
    <mergeCell ref="C156:D156"/>
    <mergeCell ref="C157:D157"/>
    <mergeCell ref="C158:D158"/>
    <mergeCell ref="C159:D159"/>
    <mergeCell ref="C160:D160"/>
    <mergeCell ref="B143:D143"/>
    <mergeCell ref="B142:D142"/>
    <mergeCell ref="B141:D141"/>
    <mergeCell ref="B140:D140"/>
    <mergeCell ref="B139:D139"/>
  </mergeCells>
  <printOptions horizontalCentered="1"/>
  <pageMargins left="0.70866141732283472" right="0.70866141732283472" top="1.9685039370078741" bottom="0.74803149606299213" header="0.31496062992125984" footer="0.31496062992125984"/>
  <pageSetup paperSize="9" scale="62" orientation="portrait" r:id="rId1"/>
  <headerFooter>
    <oddHeader>&amp;C&amp;G</oddHeader>
  </headerFooter>
  <rowBreaks count="1" manualBreakCount="1">
    <brk id="83" min="1" max="7" man="1"/>
  </rowBreaks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49"/>
  <sheetViews>
    <sheetView workbookViewId="0">
      <selection sqref="A1:XFD155"/>
    </sheetView>
  </sheetViews>
  <sheetFormatPr baseColWidth="10" defaultRowHeight="15" x14ac:dyDescent="0.25"/>
  <sheetData>
    <row r="1" spans="1:13" x14ac:dyDescent="0.25">
      <c r="B1" s="136" t="s">
        <v>131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</row>
    <row r="2" spans="1:13" x14ac:dyDescent="0.25"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</row>
    <row r="3" spans="1:13" x14ac:dyDescent="0.25">
      <c r="B3" s="2"/>
      <c r="C3" s="2"/>
      <c r="D3" s="2"/>
      <c r="E3" s="2"/>
      <c r="F3" s="2"/>
      <c r="G3" s="2"/>
      <c r="H3" s="2"/>
      <c r="I3" s="2"/>
      <c r="J3" s="2"/>
      <c r="K3" s="2"/>
    </row>
    <row r="4" spans="1:13" ht="24" x14ac:dyDescent="0.25">
      <c r="B4" s="97" t="s">
        <v>0</v>
      </c>
      <c r="C4" s="97"/>
      <c r="D4" s="97"/>
      <c r="E4" s="97"/>
      <c r="F4" s="26" t="s">
        <v>132</v>
      </c>
      <c r="G4" s="27" t="s">
        <v>116</v>
      </c>
      <c r="H4" s="28" t="s">
        <v>1</v>
      </c>
      <c r="I4" s="28" t="s">
        <v>118</v>
      </c>
      <c r="J4" s="26" t="s">
        <v>117</v>
      </c>
      <c r="K4" s="26" t="s">
        <v>188</v>
      </c>
      <c r="L4" s="26" t="s">
        <v>189</v>
      </c>
    </row>
    <row r="5" spans="1:13" ht="6" customHeight="1" x14ac:dyDescent="0.25">
      <c r="B5" s="29"/>
      <c r="C5" s="29"/>
      <c r="D5" s="29"/>
      <c r="E5" s="29"/>
      <c r="F5" s="29"/>
      <c r="G5" s="30"/>
      <c r="H5" s="30"/>
      <c r="I5" s="30"/>
      <c r="J5" s="30"/>
      <c r="K5" s="30"/>
      <c r="L5" s="31"/>
    </row>
    <row r="6" spans="1:13" x14ac:dyDescent="0.25">
      <c r="A6" s="32" t="s">
        <v>120</v>
      </c>
      <c r="B6" s="48" t="s">
        <v>119</v>
      </c>
      <c r="C6" s="8">
        <v>0.2</v>
      </c>
      <c r="D6" s="8">
        <v>0.15</v>
      </c>
      <c r="E6" s="5">
        <v>1.2</v>
      </c>
      <c r="F6" s="10">
        <f>($C6+$D6)*$E6</f>
        <v>0.42</v>
      </c>
      <c r="G6" s="47">
        <v>19.833333333333332</v>
      </c>
      <c r="H6" s="5">
        <v>0</v>
      </c>
      <c r="I6" s="8">
        <f>$F6*$H6</f>
        <v>0</v>
      </c>
      <c r="J6" s="57">
        <f>$G6*$H6</f>
        <v>0</v>
      </c>
      <c r="K6" s="20">
        <v>800</v>
      </c>
      <c r="L6" s="50">
        <f t="shared" ref="L6:L69" si="0">$F6*$H6*$K6</f>
        <v>0</v>
      </c>
      <c r="M6" s="76"/>
    </row>
    <row r="7" spans="1:13" x14ac:dyDescent="0.25">
      <c r="A7" s="32" t="s">
        <v>120</v>
      </c>
      <c r="B7" s="48" t="s">
        <v>119</v>
      </c>
      <c r="C7" s="8">
        <v>0.15</v>
      </c>
      <c r="D7" s="8">
        <v>0.15</v>
      </c>
      <c r="E7" s="5">
        <v>1.2</v>
      </c>
      <c r="F7" s="10">
        <f>($C7+$D7)*$E7</f>
        <v>0.36</v>
      </c>
      <c r="G7" s="47">
        <v>17</v>
      </c>
      <c r="H7" s="5">
        <v>0</v>
      </c>
      <c r="I7" s="8">
        <f>$F7*$H7</f>
        <v>0</v>
      </c>
      <c r="J7" s="57">
        <f>$G7*$H7</f>
        <v>0</v>
      </c>
      <c r="K7" s="20">
        <v>800</v>
      </c>
      <c r="L7" s="50">
        <f t="shared" si="0"/>
        <v>0</v>
      </c>
      <c r="M7" s="76"/>
    </row>
    <row r="8" spans="1:13" x14ac:dyDescent="0.25">
      <c r="A8" s="32" t="s">
        <v>120</v>
      </c>
      <c r="B8" s="48" t="s">
        <v>119</v>
      </c>
      <c r="C8" s="8">
        <v>0.1</v>
      </c>
      <c r="D8" s="8">
        <v>0.1</v>
      </c>
      <c r="E8" s="5">
        <v>1.2</v>
      </c>
      <c r="F8" s="10">
        <f>($C8+$D8)*$E8</f>
        <v>0.24</v>
      </c>
      <c r="G8" s="47">
        <v>11.333333333333334</v>
      </c>
      <c r="H8" s="5">
        <v>0</v>
      </c>
      <c r="I8" s="8">
        <f>$F8*$H8</f>
        <v>0</v>
      </c>
      <c r="J8" s="57">
        <f>$G8*$H8</f>
        <v>0</v>
      </c>
      <c r="K8" s="20">
        <v>800</v>
      </c>
      <c r="L8" s="50">
        <f t="shared" si="0"/>
        <v>0</v>
      </c>
      <c r="M8" s="76"/>
    </row>
    <row r="9" spans="1:13" x14ac:dyDescent="0.25">
      <c r="A9" s="32" t="s">
        <v>120</v>
      </c>
      <c r="B9" s="48" t="s">
        <v>119</v>
      </c>
      <c r="C9" s="8">
        <v>0.1</v>
      </c>
      <c r="D9" s="8">
        <v>0.1</v>
      </c>
      <c r="E9" s="5">
        <v>2.4</v>
      </c>
      <c r="F9" s="10">
        <f>($C9+$D9)*$E9</f>
        <v>0.48</v>
      </c>
      <c r="G9" s="47">
        <v>22.666666666666668</v>
      </c>
      <c r="H9" s="5">
        <v>0</v>
      </c>
      <c r="I9" s="8">
        <f>$F9*$H9</f>
        <v>0</v>
      </c>
      <c r="J9" s="57">
        <f>$G9*$H9</f>
        <v>0</v>
      </c>
      <c r="K9" s="20">
        <v>800</v>
      </c>
      <c r="L9" s="50">
        <f t="shared" si="0"/>
        <v>0</v>
      </c>
      <c r="M9" s="76"/>
    </row>
    <row r="10" spans="1:13" x14ac:dyDescent="0.25">
      <c r="A10" s="34" t="s">
        <v>4</v>
      </c>
      <c r="B10" s="137" t="s">
        <v>3</v>
      </c>
      <c r="C10" s="137"/>
      <c r="D10" s="9">
        <v>0.6</v>
      </c>
      <c r="E10" s="5">
        <v>1.2</v>
      </c>
      <c r="F10" s="10">
        <f>$D10*$E10</f>
        <v>0.72</v>
      </c>
      <c r="G10" s="21">
        <v>34</v>
      </c>
      <c r="H10" s="5">
        <v>0</v>
      </c>
      <c r="I10" s="8">
        <f>$F10*$H10</f>
        <v>0</v>
      </c>
      <c r="J10" s="57">
        <f t="shared" ref="J10:J73" si="1">G10*$H10</f>
        <v>0</v>
      </c>
      <c r="K10" s="20">
        <v>800</v>
      </c>
      <c r="L10" s="50">
        <f t="shared" si="0"/>
        <v>0</v>
      </c>
    </row>
    <row r="11" spans="1:13" x14ac:dyDescent="0.25">
      <c r="A11" s="33" t="s">
        <v>5</v>
      </c>
      <c r="B11" s="137" t="s">
        <v>3</v>
      </c>
      <c r="C11" s="137"/>
      <c r="D11" s="9">
        <v>0.59499999999999997</v>
      </c>
      <c r="E11" s="5">
        <v>1.2</v>
      </c>
      <c r="F11" s="10">
        <f t="shared" ref="F11:F74" si="2">$D11*$E11</f>
        <v>0.71399999999999997</v>
      </c>
      <c r="G11" s="21">
        <v>33.716666666666669</v>
      </c>
      <c r="H11" s="5">
        <v>0</v>
      </c>
      <c r="I11" s="8">
        <f t="shared" ref="I11:I74" si="3">$F11*$H11</f>
        <v>0</v>
      </c>
      <c r="J11" s="57">
        <f t="shared" si="1"/>
        <v>0</v>
      </c>
      <c r="K11" s="20">
        <v>800</v>
      </c>
      <c r="L11" s="50">
        <f t="shared" si="0"/>
        <v>0</v>
      </c>
    </row>
    <row r="12" spans="1:13" x14ac:dyDescent="0.25">
      <c r="A12" s="33" t="s">
        <v>6</v>
      </c>
      <c r="B12" s="89" t="s">
        <v>3</v>
      </c>
      <c r="C12" s="90"/>
      <c r="D12" s="9">
        <v>0.59</v>
      </c>
      <c r="E12" s="5">
        <v>1.2</v>
      </c>
      <c r="F12" s="10">
        <f t="shared" si="2"/>
        <v>0.70799999999999996</v>
      </c>
      <c r="G12" s="21">
        <v>33.433333333333337</v>
      </c>
      <c r="H12" s="5">
        <v>0</v>
      </c>
      <c r="I12" s="8">
        <f t="shared" si="3"/>
        <v>0</v>
      </c>
      <c r="J12" s="57">
        <f t="shared" si="1"/>
        <v>0</v>
      </c>
      <c r="K12" s="20">
        <v>800</v>
      </c>
      <c r="L12" s="50">
        <f t="shared" si="0"/>
        <v>0</v>
      </c>
    </row>
    <row r="13" spans="1:13" x14ac:dyDescent="0.25">
      <c r="A13" s="33" t="s">
        <v>7</v>
      </c>
      <c r="B13" s="89" t="s">
        <v>3</v>
      </c>
      <c r="C13" s="90"/>
      <c r="D13" s="9">
        <v>0.58499999999999996</v>
      </c>
      <c r="E13" s="5">
        <v>1.2</v>
      </c>
      <c r="F13" s="10">
        <f t="shared" si="2"/>
        <v>0.70199999999999996</v>
      </c>
      <c r="G13" s="21">
        <v>33.150000000000006</v>
      </c>
      <c r="H13" s="5">
        <v>0</v>
      </c>
      <c r="I13" s="8">
        <f t="shared" si="3"/>
        <v>0</v>
      </c>
      <c r="J13" s="57">
        <f t="shared" si="1"/>
        <v>0</v>
      </c>
      <c r="K13" s="20">
        <v>800</v>
      </c>
      <c r="L13" s="50">
        <f t="shared" si="0"/>
        <v>0</v>
      </c>
    </row>
    <row r="14" spans="1:13" x14ac:dyDescent="0.25">
      <c r="A14" s="33" t="s">
        <v>8</v>
      </c>
      <c r="B14" s="89" t="s">
        <v>3</v>
      </c>
      <c r="C14" s="90"/>
      <c r="D14" s="9">
        <v>0.57999999999999996</v>
      </c>
      <c r="E14" s="5">
        <v>1.2</v>
      </c>
      <c r="F14" s="10">
        <f t="shared" si="2"/>
        <v>0.69599999999999995</v>
      </c>
      <c r="G14" s="21">
        <v>32.866666666666674</v>
      </c>
      <c r="H14" s="5">
        <v>0</v>
      </c>
      <c r="I14" s="8">
        <f t="shared" si="3"/>
        <v>0</v>
      </c>
      <c r="J14" s="57">
        <f t="shared" si="1"/>
        <v>0</v>
      </c>
      <c r="K14" s="20">
        <v>800</v>
      </c>
      <c r="L14" s="50">
        <f t="shared" si="0"/>
        <v>0</v>
      </c>
    </row>
    <row r="15" spans="1:13" x14ac:dyDescent="0.25">
      <c r="A15" s="34" t="s">
        <v>9</v>
      </c>
      <c r="B15" s="89" t="s">
        <v>3</v>
      </c>
      <c r="C15" s="90"/>
      <c r="D15" s="9">
        <v>0.57499999999999996</v>
      </c>
      <c r="E15" s="5">
        <v>1.2</v>
      </c>
      <c r="F15" s="10">
        <f t="shared" si="2"/>
        <v>0.69</v>
      </c>
      <c r="G15" s="21">
        <v>32.583333333333343</v>
      </c>
      <c r="H15" s="5">
        <v>0</v>
      </c>
      <c r="I15" s="8">
        <f t="shared" si="3"/>
        <v>0</v>
      </c>
      <c r="J15" s="57">
        <f t="shared" si="1"/>
        <v>0</v>
      </c>
      <c r="K15" s="20">
        <v>800</v>
      </c>
      <c r="L15" s="50">
        <f t="shared" si="0"/>
        <v>0</v>
      </c>
    </row>
    <row r="16" spans="1:13" x14ac:dyDescent="0.25">
      <c r="A16" s="33" t="s">
        <v>10</v>
      </c>
      <c r="B16" s="89" t="s">
        <v>3</v>
      </c>
      <c r="C16" s="90"/>
      <c r="D16" s="9">
        <v>0.56999999999999995</v>
      </c>
      <c r="E16" s="5">
        <v>1.2</v>
      </c>
      <c r="F16" s="10">
        <f t="shared" si="2"/>
        <v>0.68399999999999994</v>
      </c>
      <c r="G16" s="21">
        <v>32.300000000000011</v>
      </c>
      <c r="H16" s="5">
        <v>0</v>
      </c>
      <c r="I16" s="8">
        <f t="shared" si="3"/>
        <v>0</v>
      </c>
      <c r="J16" s="57">
        <f t="shared" si="1"/>
        <v>0</v>
      </c>
      <c r="K16" s="20">
        <v>800</v>
      </c>
      <c r="L16" s="50">
        <f t="shared" si="0"/>
        <v>0</v>
      </c>
    </row>
    <row r="17" spans="1:12" x14ac:dyDescent="0.25">
      <c r="A17" s="33" t="s">
        <v>11</v>
      </c>
      <c r="B17" s="89" t="s">
        <v>3</v>
      </c>
      <c r="C17" s="90"/>
      <c r="D17" s="9">
        <v>0.56499999999999995</v>
      </c>
      <c r="E17" s="5">
        <v>1.2</v>
      </c>
      <c r="F17" s="10">
        <f t="shared" si="2"/>
        <v>0.67799999999999994</v>
      </c>
      <c r="G17" s="21">
        <v>32.01666666666668</v>
      </c>
      <c r="H17" s="5">
        <v>0</v>
      </c>
      <c r="I17" s="8">
        <f t="shared" si="3"/>
        <v>0</v>
      </c>
      <c r="J17" s="57">
        <f t="shared" si="1"/>
        <v>0</v>
      </c>
      <c r="K17" s="20">
        <v>800</v>
      </c>
      <c r="L17" s="50">
        <f t="shared" si="0"/>
        <v>0</v>
      </c>
    </row>
    <row r="18" spans="1:12" x14ac:dyDescent="0.25">
      <c r="A18" s="33" t="s">
        <v>12</v>
      </c>
      <c r="B18" s="89" t="s">
        <v>3</v>
      </c>
      <c r="C18" s="90"/>
      <c r="D18" s="9">
        <v>0.56000000000000005</v>
      </c>
      <c r="E18" s="5">
        <v>1.2</v>
      </c>
      <c r="F18" s="10">
        <f t="shared" si="2"/>
        <v>0.67200000000000004</v>
      </c>
      <c r="G18" s="21">
        <v>31.733333333333352</v>
      </c>
      <c r="H18" s="5">
        <v>0</v>
      </c>
      <c r="I18" s="8">
        <f t="shared" si="3"/>
        <v>0</v>
      </c>
      <c r="J18" s="57">
        <f t="shared" si="1"/>
        <v>0</v>
      </c>
      <c r="K18" s="20">
        <v>800</v>
      </c>
      <c r="L18" s="50">
        <f t="shared" si="0"/>
        <v>0</v>
      </c>
    </row>
    <row r="19" spans="1:12" x14ac:dyDescent="0.25">
      <c r="A19" s="33" t="s">
        <v>13</v>
      </c>
      <c r="B19" s="89" t="s">
        <v>3</v>
      </c>
      <c r="C19" s="90"/>
      <c r="D19" s="9">
        <v>0.55500000000000005</v>
      </c>
      <c r="E19" s="5">
        <v>1.2</v>
      </c>
      <c r="F19" s="10">
        <f t="shared" si="2"/>
        <v>0.66600000000000004</v>
      </c>
      <c r="G19" s="21">
        <v>31.450000000000017</v>
      </c>
      <c r="H19" s="5">
        <v>0</v>
      </c>
      <c r="I19" s="8">
        <f t="shared" si="3"/>
        <v>0</v>
      </c>
      <c r="J19" s="57">
        <f t="shared" si="1"/>
        <v>0</v>
      </c>
      <c r="K19" s="20">
        <v>800</v>
      </c>
      <c r="L19" s="50">
        <f t="shared" si="0"/>
        <v>0</v>
      </c>
    </row>
    <row r="20" spans="1:12" x14ac:dyDescent="0.25">
      <c r="A20" s="34" t="s">
        <v>14</v>
      </c>
      <c r="B20" s="89" t="s">
        <v>3</v>
      </c>
      <c r="C20" s="90"/>
      <c r="D20" s="9">
        <v>0.55000000000000004</v>
      </c>
      <c r="E20" s="5">
        <v>1.2</v>
      </c>
      <c r="F20" s="10">
        <f t="shared" si="2"/>
        <v>0.66</v>
      </c>
      <c r="G20" s="21">
        <v>31.166666666666682</v>
      </c>
      <c r="H20" s="5">
        <v>0</v>
      </c>
      <c r="I20" s="8">
        <f t="shared" si="3"/>
        <v>0</v>
      </c>
      <c r="J20" s="57">
        <f t="shared" si="1"/>
        <v>0</v>
      </c>
      <c r="K20" s="20">
        <v>800</v>
      </c>
      <c r="L20" s="50">
        <f t="shared" si="0"/>
        <v>0</v>
      </c>
    </row>
    <row r="21" spans="1:12" x14ac:dyDescent="0.25">
      <c r="A21" s="33" t="s">
        <v>15</v>
      </c>
      <c r="B21" s="89" t="s">
        <v>3</v>
      </c>
      <c r="C21" s="90"/>
      <c r="D21" s="9">
        <v>0.54500000000000004</v>
      </c>
      <c r="E21" s="5">
        <v>1.2</v>
      </c>
      <c r="F21" s="10">
        <f t="shared" si="2"/>
        <v>0.65400000000000003</v>
      </c>
      <c r="G21" s="21">
        <v>30.883333333333347</v>
      </c>
      <c r="H21" s="5">
        <v>0</v>
      </c>
      <c r="I21" s="8">
        <f t="shared" si="3"/>
        <v>0</v>
      </c>
      <c r="J21" s="57">
        <f t="shared" si="1"/>
        <v>0</v>
      </c>
      <c r="K21" s="20">
        <v>800</v>
      </c>
      <c r="L21" s="50">
        <f t="shared" si="0"/>
        <v>0</v>
      </c>
    </row>
    <row r="22" spans="1:12" x14ac:dyDescent="0.25">
      <c r="A22" s="33" t="s">
        <v>16</v>
      </c>
      <c r="B22" s="89" t="s">
        <v>3</v>
      </c>
      <c r="C22" s="90"/>
      <c r="D22" s="9">
        <v>0.54</v>
      </c>
      <c r="E22" s="5">
        <v>1.2</v>
      </c>
      <c r="F22" s="10">
        <f t="shared" si="2"/>
        <v>0.64800000000000002</v>
      </c>
      <c r="G22" s="21">
        <v>30.600000000000016</v>
      </c>
      <c r="H22" s="5">
        <v>0</v>
      </c>
      <c r="I22" s="8">
        <f t="shared" si="3"/>
        <v>0</v>
      </c>
      <c r="J22" s="57">
        <f t="shared" si="1"/>
        <v>0</v>
      </c>
      <c r="K22" s="20">
        <v>800</v>
      </c>
      <c r="L22" s="50">
        <f t="shared" si="0"/>
        <v>0</v>
      </c>
    </row>
    <row r="23" spans="1:12" x14ac:dyDescent="0.25">
      <c r="A23" s="33" t="s">
        <v>17</v>
      </c>
      <c r="B23" s="89" t="s">
        <v>3</v>
      </c>
      <c r="C23" s="90"/>
      <c r="D23" s="9">
        <v>0.53500000000000003</v>
      </c>
      <c r="E23" s="5">
        <v>1.2</v>
      </c>
      <c r="F23" s="10">
        <f t="shared" si="2"/>
        <v>0.64200000000000002</v>
      </c>
      <c r="G23" s="21">
        <v>30.316666666666681</v>
      </c>
      <c r="H23" s="5">
        <v>0</v>
      </c>
      <c r="I23" s="8">
        <f t="shared" si="3"/>
        <v>0</v>
      </c>
      <c r="J23" s="57">
        <f t="shared" si="1"/>
        <v>0</v>
      </c>
      <c r="K23" s="20">
        <v>800</v>
      </c>
      <c r="L23" s="50">
        <f t="shared" si="0"/>
        <v>0</v>
      </c>
    </row>
    <row r="24" spans="1:12" x14ac:dyDescent="0.25">
      <c r="A24" s="33" t="s">
        <v>18</v>
      </c>
      <c r="B24" s="89" t="s">
        <v>3</v>
      </c>
      <c r="C24" s="90"/>
      <c r="D24" s="9">
        <v>0.53</v>
      </c>
      <c r="E24" s="5">
        <v>1.2</v>
      </c>
      <c r="F24" s="10">
        <f t="shared" si="2"/>
        <v>0.63600000000000001</v>
      </c>
      <c r="G24" s="21">
        <v>30.033333333333346</v>
      </c>
      <c r="H24" s="5">
        <v>0</v>
      </c>
      <c r="I24" s="8">
        <f t="shared" si="3"/>
        <v>0</v>
      </c>
      <c r="J24" s="57">
        <f t="shared" si="1"/>
        <v>0</v>
      </c>
      <c r="K24" s="20">
        <v>800</v>
      </c>
      <c r="L24" s="50">
        <f t="shared" si="0"/>
        <v>0</v>
      </c>
    </row>
    <row r="25" spans="1:12" x14ac:dyDescent="0.25">
      <c r="A25" s="34" t="s">
        <v>19</v>
      </c>
      <c r="B25" s="89" t="s">
        <v>3</v>
      </c>
      <c r="C25" s="90"/>
      <c r="D25" s="9">
        <v>0.52500000000000002</v>
      </c>
      <c r="E25" s="5">
        <v>1.2</v>
      </c>
      <c r="F25" s="10">
        <f t="shared" si="2"/>
        <v>0.63</v>
      </c>
      <c r="G25" s="21">
        <v>29.750000000000011</v>
      </c>
      <c r="H25" s="5">
        <v>0</v>
      </c>
      <c r="I25" s="8">
        <f t="shared" si="3"/>
        <v>0</v>
      </c>
      <c r="J25" s="57">
        <f t="shared" si="1"/>
        <v>0</v>
      </c>
      <c r="K25" s="20">
        <v>800</v>
      </c>
      <c r="L25" s="50">
        <f t="shared" si="0"/>
        <v>0</v>
      </c>
    </row>
    <row r="26" spans="1:12" x14ac:dyDescent="0.25">
      <c r="A26" s="33" t="s">
        <v>20</v>
      </c>
      <c r="B26" s="89" t="s">
        <v>3</v>
      </c>
      <c r="C26" s="90"/>
      <c r="D26" s="9">
        <v>0.52</v>
      </c>
      <c r="E26" s="5">
        <v>1.2</v>
      </c>
      <c r="F26" s="10">
        <f t="shared" si="2"/>
        <v>0.624</v>
      </c>
      <c r="G26" s="21">
        <v>29.466666666666679</v>
      </c>
      <c r="H26" s="5">
        <v>0</v>
      </c>
      <c r="I26" s="8">
        <f t="shared" si="3"/>
        <v>0</v>
      </c>
      <c r="J26" s="57">
        <f t="shared" si="1"/>
        <v>0</v>
      </c>
      <c r="K26" s="20">
        <v>800</v>
      </c>
      <c r="L26" s="50">
        <f t="shared" si="0"/>
        <v>0</v>
      </c>
    </row>
    <row r="27" spans="1:12" x14ac:dyDescent="0.25">
      <c r="A27" s="33" t="s">
        <v>21</v>
      </c>
      <c r="B27" s="89" t="s">
        <v>3</v>
      </c>
      <c r="C27" s="90"/>
      <c r="D27" s="9">
        <v>0.51500000000000001</v>
      </c>
      <c r="E27" s="5">
        <v>1.2</v>
      </c>
      <c r="F27" s="10">
        <f t="shared" si="2"/>
        <v>0.61799999999999999</v>
      </c>
      <c r="G27" s="21">
        <v>29.183333333333344</v>
      </c>
      <c r="H27" s="5">
        <v>0</v>
      </c>
      <c r="I27" s="8">
        <f t="shared" si="3"/>
        <v>0</v>
      </c>
      <c r="J27" s="57">
        <f t="shared" si="1"/>
        <v>0</v>
      </c>
      <c r="K27" s="20">
        <v>800</v>
      </c>
      <c r="L27" s="50">
        <f t="shared" si="0"/>
        <v>0</v>
      </c>
    </row>
    <row r="28" spans="1:12" x14ac:dyDescent="0.25">
      <c r="A28" s="33" t="s">
        <v>22</v>
      </c>
      <c r="B28" s="89" t="s">
        <v>3</v>
      </c>
      <c r="C28" s="90"/>
      <c r="D28" s="9">
        <v>0.51</v>
      </c>
      <c r="E28" s="5">
        <v>1.2</v>
      </c>
      <c r="F28" s="10">
        <f t="shared" si="2"/>
        <v>0.61199999999999999</v>
      </c>
      <c r="G28" s="21">
        <v>28.900000000000009</v>
      </c>
      <c r="H28" s="5">
        <v>0</v>
      </c>
      <c r="I28" s="8">
        <f t="shared" si="3"/>
        <v>0</v>
      </c>
      <c r="J28" s="57">
        <f t="shared" si="1"/>
        <v>0</v>
      </c>
      <c r="K28" s="20">
        <v>800</v>
      </c>
      <c r="L28" s="50">
        <f t="shared" si="0"/>
        <v>0</v>
      </c>
    </row>
    <row r="29" spans="1:12" x14ac:dyDescent="0.25">
      <c r="A29" s="33" t="s">
        <v>23</v>
      </c>
      <c r="B29" s="89" t="s">
        <v>3</v>
      </c>
      <c r="C29" s="90"/>
      <c r="D29" s="9">
        <v>0.505</v>
      </c>
      <c r="E29" s="5">
        <v>1.2</v>
      </c>
      <c r="F29" s="10">
        <f t="shared" si="2"/>
        <v>0.60599999999999998</v>
      </c>
      <c r="G29" s="21">
        <v>28.616666666666674</v>
      </c>
      <c r="H29" s="5">
        <v>0</v>
      </c>
      <c r="I29" s="8">
        <f t="shared" si="3"/>
        <v>0</v>
      </c>
      <c r="J29" s="57">
        <f t="shared" si="1"/>
        <v>0</v>
      </c>
      <c r="K29" s="20">
        <v>800</v>
      </c>
      <c r="L29" s="50">
        <f t="shared" si="0"/>
        <v>0</v>
      </c>
    </row>
    <row r="30" spans="1:12" x14ac:dyDescent="0.25">
      <c r="A30" s="34" t="s">
        <v>24</v>
      </c>
      <c r="B30" s="89" t="s">
        <v>3</v>
      </c>
      <c r="C30" s="90"/>
      <c r="D30" s="9">
        <v>0.5</v>
      </c>
      <c r="E30" s="5">
        <v>1.2</v>
      </c>
      <c r="F30" s="10">
        <f t="shared" si="2"/>
        <v>0.6</v>
      </c>
      <c r="G30" s="21">
        <v>28.333333333333343</v>
      </c>
      <c r="H30" s="5">
        <v>0</v>
      </c>
      <c r="I30" s="8">
        <f t="shared" si="3"/>
        <v>0</v>
      </c>
      <c r="J30" s="57">
        <f t="shared" si="1"/>
        <v>0</v>
      </c>
      <c r="K30" s="20">
        <v>800</v>
      </c>
      <c r="L30" s="50">
        <f t="shared" si="0"/>
        <v>0</v>
      </c>
    </row>
    <row r="31" spans="1:12" x14ac:dyDescent="0.25">
      <c r="A31" s="33" t="s">
        <v>25</v>
      </c>
      <c r="B31" s="89" t="s">
        <v>3</v>
      </c>
      <c r="C31" s="90"/>
      <c r="D31" s="9">
        <v>0.495</v>
      </c>
      <c r="E31" s="5">
        <v>1.2</v>
      </c>
      <c r="F31" s="10">
        <f t="shared" si="2"/>
        <v>0.59399999999999997</v>
      </c>
      <c r="G31" s="21">
        <v>28.050000000000011</v>
      </c>
      <c r="H31" s="5">
        <v>0</v>
      </c>
      <c r="I31" s="8">
        <f t="shared" si="3"/>
        <v>0</v>
      </c>
      <c r="J31" s="57">
        <f t="shared" si="1"/>
        <v>0</v>
      </c>
      <c r="K31" s="20">
        <v>800</v>
      </c>
      <c r="L31" s="50">
        <f t="shared" si="0"/>
        <v>0</v>
      </c>
    </row>
    <row r="32" spans="1:12" x14ac:dyDescent="0.25">
      <c r="A32" s="33" t="s">
        <v>26</v>
      </c>
      <c r="B32" s="89" t="s">
        <v>3</v>
      </c>
      <c r="C32" s="90"/>
      <c r="D32" s="9">
        <v>0.49</v>
      </c>
      <c r="E32" s="5">
        <v>1.2</v>
      </c>
      <c r="F32" s="10">
        <f t="shared" si="2"/>
        <v>0.58799999999999997</v>
      </c>
      <c r="G32" s="21">
        <v>27.766666666666676</v>
      </c>
      <c r="H32" s="5">
        <v>0</v>
      </c>
      <c r="I32" s="8">
        <f t="shared" si="3"/>
        <v>0</v>
      </c>
      <c r="J32" s="57">
        <f t="shared" si="1"/>
        <v>0</v>
      </c>
      <c r="K32" s="20">
        <v>800</v>
      </c>
      <c r="L32" s="50">
        <f t="shared" si="0"/>
        <v>0</v>
      </c>
    </row>
    <row r="33" spans="1:12" x14ac:dyDescent="0.25">
      <c r="A33" s="33" t="s">
        <v>27</v>
      </c>
      <c r="B33" s="89" t="s">
        <v>3</v>
      </c>
      <c r="C33" s="90"/>
      <c r="D33" s="9">
        <v>0.48499999999999999</v>
      </c>
      <c r="E33" s="5">
        <v>1.2</v>
      </c>
      <c r="F33" s="10">
        <f t="shared" si="2"/>
        <v>0.58199999999999996</v>
      </c>
      <c r="G33" s="21">
        <v>27.483333333333341</v>
      </c>
      <c r="H33" s="5">
        <v>0</v>
      </c>
      <c r="I33" s="8">
        <f t="shared" si="3"/>
        <v>0</v>
      </c>
      <c r="J33" s="57">
        <f t="shared" si="1"/>
        <v>0</v>
      </c>
      <c r="K33" s="20">
        <v>800</v>
      </c>
      <c r="L33" s="50">
        <f t="shared" si="0"/>
        <v>0</v>
      </c>
    </row>
    <row r="34" spans="1:12" x14ac:dyDescent="0.25">
      <c r="A34" s="33" t="s">
        <v>28</v>
      </c>
      <c r="B34" s="89" t="s">
        <v>3</v>
      </c>
      <c r="C34" s="90"/>
      <c r="D34" s="9">
        <v>0.48</v>
      </c>
      <c r="E34" s="5">
        <v>1.2</v>
      </c>
      <c r="F34" s="10">
        <f t="shared" si="2"/>
        <v>0.57599999999999996</v>
      </c>
      <c r="G34" s="21">
        <v>27.200000000000006</v>
      </c>
      <c r="H34" s="5">
        <v>0</v>
      </c>
      <c r="I34" s="8">
        <f t="shared" si="3"/>
        <v>0</v>
      </c>
      <c r="J34" s="57">
        <f t="shared" si="1"/>
        <v>0</v>
      </c>
      <c r="K34" s="20">
        <v>800</v>
      </c>
      <c r="L34" s="50">
        <f t="shared" si="0"/>
        <v>0</v>
      </c>
    </row>
    <row r="35" spans="1:12" x14ac:dyDescent="0.25">
      <c r="A35" s="34" t="s">
        <v>29</v>
      </c>
      <c r="B35" s="89" t="s">
        <v>3</v>
      </c>
      <c r="C35" s="90"/>
      <c r="D35" s="9">
        <v>0.47499999999999998</v>
      </c>
      <c r="E35" s="5">
        <v>1.2</v>
      </c>
      <c r="F35" s="10">
        <f t="shared" si="2"/>
        <v>0.56999999999999995</v>
      </c>
      <c r="G35" s="21">
        <v>26.916666666666675</v>
      </c>
      <c r="H35" s="5">
        <v>0</v>
      </c>
      <c r="I35" s="8">
        <f t="shared" si="3"/>
        <v>0</v>
      </c>
      <c r="J35" s="57">
        <f t="shared" si="1"/>
        <v>0</v>
      </c>
      <c r="K35" s="20">
        <v>800</v>
      </c>
      <c r="L35" s="50">
        <f t="shared" si="0"/>
        <v>0</v>
      </c>
    </row>
    <row r="36" spans="1:12" x14ac:dyDescent="0.25">
      <c r="A36" s="33" t="s">
        <v>30</v>
      </c>
      <c r="B36" s="89" t="s">
        <v>3</v>
      </c>
      <c r="C36" s="90"/>
      <c r="D36" s="9">
        <v>0.47</v>
      </c>
      <c r="E36" s="5">
        <v>1.2</v>
      </c>
      <c r="F36" s="10">
        <f t="shared" si="2"/>
        <v>0.56399999999999995</v>
      </c>
      <c r="G36" s="21">
        <v>26.63333333333334</v>
      </c>
      <c r="H36" s="5">
        <v>0</v>
      </c>
      <c r="I36" s="8">
        <f t="shared" si="3"/>
        <v>0</v>
      </c>
      <c r="J36" s="57">
        <f t="shared" si="1"/>
        <v>0</v>
      </c>
      <c r="K36" s="20">
        <v>800</v>
      </c>
      <c r="L36" s="50">
        <f t="shared" si="0"/>
        <v>0</v>
      </c>
    </row>
    <row r="37" spans="1:12" x14ac:dyDescent="0.25">
      <c r="A37" s="33" t="s">
        <v>31</v>
      </c>
      <c r="B37" s="89" t="s">
        <v>3</v>
      </c>
      <c r="C37" s="90"/>
      <c r="D37" s="9">
        <v>0.46500000000000002</v>
      </c>
      <c r="E37" s="5">
        <v>1.2</v>
      </c>
      <c r="F37" s="10">
        <f t="shared" si="2"/>
        <v>0.55800000000000005</v>
      </c>
      <c r="G37" s="21">
        <v>26.350000000000012</v>
      </c>
      <c r="H37" s="5">
        <v>0</v>
      </c>
      <c r="I37" s="8">
        <f t="shared" si="3"/>
        <v>0</v>
      </c>
      <c r="J37" s="57">
        <f t="shared" si="1"/>
        <v>0</v>
      </c>
      <c r="K37" s="20">
        <v>800</v>
      </c>
      <c r="L37" s="50">
        <f t="shared" si="0"/>
        <v>0</v>
      </c>
    </row>
    <row r="38" spans="1:12" x14ac:dyDescent="0.25">
      <c r="A38" s="33" t="s">
        <v>32</v>
      </c>
      <c r="B38" s="89" t="s">
        <v>3</v>
      </c>
      <c r="C38" s="90"/>
      <c r="D38" s="9">
        <v>0.46</v>
      </c>
      <c r="E38" s="5">
        <v>1.2</v>
      </c>
      <c r="F38" s="10">
        <f t="shared" si="2"/>
        <v>0.55200000000000005</v>
      </c>
      <c r="G38" s="21">
        <v>26.066666666666681</v>
      </c>
      <c r="H38" s="5">
        <v>0</v>
      </c>
      <c r="I38" s="8">
        <f t="shared" si="3"/>
        <v>0</v>
      </c>
      <c r="J38" s="57">
        <f t="shared" si="1"/>
        <v>0</v>
      </c>
      <c r="K38" s="20">
        <v>800</v>
      </c>
      <c r="L38" s="50">
        <f t="shared" si="0"/>
        <v>0</v>
      </c>
    </row>
    <row r="39" spans="1:12" x14ac:dyDescent="0.25">
      <c r="A39" s="33" t="s">
        <v>33</v>
      </c>
      <c r="B39" s="89" t="s">
        <v>3</v>
      </c>
      <c r="C39" s="90"/>
      <c r="D39" s="9">
        <v>0.45500000000000002</v>
      </c>
      <c r="E39" s="5">
        <v>1.2</v>
      </c>
      <c r="F39" s="10">
        <f t="shared" si="2"/>
        <v>0.54600000000000004</v>
      </c>
      <c r="G39" s="21">
        <v>25.783333333333349</v>
      </c>
      <c r="H39" s="5">
        <v>0</v>
      </c>
      <c r="I39" s="8">
        <f t="shared" si="3"/>
        <v>0</v>
      </c>
      <c r="J39" s="57">
        <f t="shared" si="1"/>
        <v>0</v>
      </c>
      <c r="K39" s="20">
        <v>800</v>
      </c>
      <c r="L39" s="50">
        <f t="shared" si="0"/>
        <v>0</v>
      </c>
    </row>
    <row r="40" spans="1:12" x14ac:dyDescent="0.25">
      <c r="A40" s="34" t="s">
        <v>34</v>
      </c>
      <c r="B40" s="89" t="s">
        <v>3</v>
      </c>
      <c r="C40" s="90"/>
      <c r="D40" s="9">
        <v>0.45</v>
      </c>
      <c r="E40" s="5">
        <v>1.2</v>
      </c>
      <c r="F40" s="10">
        <f t="shared" si="2"/>
        <v>0.54</v>
      </c>
      <c r="G40" s="21">
        <v>25.500000000000014</v>
      </c>
      <c r="H40" s="5">
        <v>0</v>
      </c>
      <c r="I40" s="8">
        <f t="shared" si="3"/>
        <v>0</v>
      </c>
      <c r="J40" s="57">
        <f t="shared" si="1"/>
        <v>0</v>
      </c>
      <c r="K40" s="20">
        <v>800</v>
      </c>
      <c r="L40" s="50">
        <f t="shared" si="0"/>
        <v>0</v>
      </c>
    </row>
    <row r="41" spans="1:12" x14ac:dyDescent="0.25">
      <c r="A41" s="33" t="s">
        <v>35</v>
      </c>
      <c r="B41" s="89" t="s">
        <v>3</v>
      </c>
      <c r="C41" s="90"/>
      <c r="D41" s="9">
        <v>0.44500000000000001</v>
      </c>
      <c r="E41" s="5">
        <v>1.2</v>
      </c>
      <c r="F41" s="10">
        <f t="shared" si="2"/>
        <v>0.53400000000000003</v>
      </c>
      <c r="G41" s="21">
        <v>25.216666666666679</v>
      </c>
      <c r="H41" s="5">
        <v>0</v>
      </c>
      <c r="I41" s="8">
        <f t="shared" si="3"/>
        <v>0</v>
      </c>
      <c r="J41" s="57">
        <f t="shared" si="1"/>
        <v>0</v>
      </c>
      <c r="K41" s="20">
        <v>800</v>
      </c>
      <c r="L41" s="50">
        <f t="shared" si="0"/>
        <v>0</v>
      </c>
    </row>
    <row r="42" spans="1:12" x14ac:dyDescent="0.25">
      <c r="A42" s="33" t="s">
        <v>36</v>
      </c>
      <c r="B42" s="89" t="s">
        <v>3</v>
      </c>
      <c r="C42" s="90"/>
      <c r="D42" s="9">
        <v>0.44</v>
      </c>
      <c r="E42" s="5">
        <v>1.2</v>
      </c>
      <c r="F42" s="10">
        <f t="shared" si="2"/>
        <v>0.52800000000000002</v>
      </c>
      <c r="G42" s="21">
        <v>24.933333333333348</v>
      </c>
      <c r="H42" s="5">
        <v>0</v>
      </c>
      <c r="I42" s="8">
        <f t="shared" si="3"/>
        <v>0</v>
      </c>
      <c r="J42" s="57">
        <f t="shared" si="1"/>
        <v>0</v>
      </c>
      <c r="K42" s="20">
        <v>800</v>
      </c>
      <c r="L42" s="50">
        <f t="shared" si="0"/>
        <v>0</v>
      </c>
    </row>
    <row r="43" spans="1:12" x14ac:dyDescent="0.25">
      <c r="A43" s="33" t="s">
        <v>37</v>
      </c>
      <c r="B43" s="89" t="s">
        <v>3</v>
      </c>
      <c r="C43" s="90"/>
      <c r="D43" s="9">
        <v>0.435</v>
      </c>
      <c r="E43" s="5">
        <v>1.2</v>
      </c>
      <c r="F43" s="10">
        <f t="shared" si="2"/>
        <v>0.52200000000000002</v>
      </c>
      <c r="G43" s="21">
        <v>24.650000000000013</v>
      </c>
      <c r="H43" s="5">
        <v>0</v>
      </c>
      <c r="I43" s="8">
        <f t="shared" si="3"/>
        <v>0</v>
      </c>
      <c r="J43" s="57">
        <f t="shared" si="1"/>
        <v>0</v>
      </c>
      <c r="K43" s="20">
        <v>800</v>
      </c>
      <c r="L43" s="50">
        <f t="shared" si="0"/>
        <v>0</v>
      </c>
    </row>
    <row r="44" spans="1:12" x14ac:dyDescent="0.25">
      <c r="A44" s="33" t="s">
        <v>38</v>
      </c>
      <c r="B44" s="89" t="s">
        <v>3</v>
      </c>
      <c r="C44" s="90"/>
      <c r="D44" s="9">
        <v>0.43</v>
      </c>
      <c r="E44" s="5">
        <v>1.2</v>
      </c>
      <c r="F44" s="10">
        <f t="shared" si="2"/>
        <v>0.51600000000000001</v>
      </c>
      <c r="G44" s="21">
        <v>24.366666666666681</v>
      </c>
      <c r="H44" s="5">
        <v>0</v>
      </c>
      <c r="I44" s="8">
        <f t="shared" si="3"/>
        <v>0</v>
      </c>
      <c r="J44" s="57">
        <f t="shared" si="1"/>
        <v>0</v>
      </c>
      <c r="K44" s="20">
        <v>800</v>
      </c>
      <c r="L44" s="50">
        <f t="shared" si="0"/>
        <v>0</v>
      </c>
    </row>
    <row r="45" spans="1:12" x14ac:dyDescent="0.25">
      <c r="A45" s="34" t="s">
        <v>39</v>
      </c>
      <c r="B45" s="89" t="s">
        <v>3</v>
      </c>
      <c r="C45" s="90"/>
      <c r="D45" s="9">
        <v>0.42499999999999999</v>
      </c>
      <c r="E45" s="5">
        <v>1.2</v>
      </c>
      <c r="F45" s="10">
        <f t="shared" si="2"/>
        <v>0.51</v>
      </c>
      <c r="G45" s="21">
        <v>24.08333333333335</v>
      </c>
      <c r="H45" s="5">
        <v>0</v>
      </c>
      <c r="I45" s="8">
        <f t="shared" si="3"/>
        <v>0</v>
      </c>
      <c r="J45" s="57">
        <f t="shared" si="1"/>
        <v>0</v>
      </c>
      <c r="K45" s="20">
        <v>800</v>
      </c>
      <c r="L45" s="50">
        <f t="shared" si="0"/>
        <v>0</v>
      </c>
    </row>
    <row r="46" spans="1:12" x14ac:dyDescent="0.25">
      <c r="A46" s="33" t="s">
        <v>40</v>
      </c>
      <c r="B46" s="89" t="s">
        <v>3</v>
      </c>
      <c r="C46" s="90"/>
      <c r="D46" s="9">
        <v>0.42</v>
      </c>
      <c r="E46" s="5">
        <v>1.2</v>
      </c>
      <c r="F46" s="10">
        <f t="shared" si="2"/>
        <v>0.504</v>
      </c>
      <c r="G46" s="21">
        <v>23.800000000000018</v>
      </c>
      <c r="H46" s="5">
        <v>0</v>
      </c>
      <c r="I46" s="8">
        <f t="shared" si="3"/>
        <v>0</v>
      </c>
      <c r="J46" s="57">
        <f t="shared" si="1"/>
        <v>0</v>
      </c>
      <c r="K46" s="20">
        <v>800</v>
      </c>
      <c r="L46" s="50">
        <f t="shared" si="0"/>
        <v>0</v>
      </c>
    </row>
    <row r="47" spans="1:12" x14ac:dyDescent="0.25">
      <c r="A47" s="33" t="s">
        <v>41</v>
      </c>
      <c r="B47" s="89" t="s">
        <v>3</v>
      </c>
      <c r="C47" s="90"/>
      <c r="D47" s="9">
        <v>0.41499999999999998</v>
      </c>
      <c r="E47" s="5">
        <v>1.2</v>
      </c>
      <c r="F47" s="10">
        <f t="shared" si="2"/>
        <v>0.49799999999999994</v>
      </c>
      <c r="G47" s="21">
        <v>23.516666666666683</v>
      </c>
      <c r="H47" s="5">
        <v>0</v>
      </c>
      <c r="I47" s="8">
        <f t="shared" si="3"/>
        <v>0</v>
      </c>
      <c r="J47" s="57">
        <f t="shared" si="1"/>
        <v>0</v>
      </c>
      <c r="K47" s="20">
        <v>800</v>
      </c>
      <c r="L47" s="50">
        <f t="shared" si="0"/>
        <v>0</v>
      </c>
    </row>
    <row r="48" spans="1:12" x14ac:dyDescent="0.25">
      <c r="A48" s="33" t="s">
        <v>42</v>
      </c>
      <c r="B48" s="89" t="s">
        <v>3</v>
      </c>
      <c r="C48" s="90"/>
      <c r="D48" s="9">
        <v>0.41</v>
      </c>
      <c r="E48" s="5">
        <v>1.2</v>
      </c>
      <c r="F48" s="10">
        <f t="shared" si="2"/>
        <v>0.49199999999999994</v>
      </c>
      <c r="G48" s="21">
        <v>23.233333333333348</v>
      </c>
      <c r="H48" s="5">
        <v>0</v>
      </c>
      <c r="I48" s="8">
        <f t="shared" si="3"/>
        <v>0</v>
      </c>
      <c r="J48" s="57">
        <f t="shared" si="1"/>
        <v>0</v>
      </c>
      <c r="K48" s="20">
        <v>800</v>
      </c>
      <c r="L48" s="50">
        <f t="shared" si="0"/>
        <v>0</v>
      </c>
    </row>
    <row r="49" spans="1:12" x14ac:dyDescent="0.25">
      <c r="A49" s="33" t="s">
        <v>43</v>
      </c>
      <c r="B49" s="89" t="s">
        <v>3</v>
      </c>
      <c r="C49" s="90"/>
      <c r="D49" s="9">
        <v>0.40500000000000003</v>
      </c>
      <c r="E49" s="5">
        <v>1.2</v>
      </c>
      <c r="F49" s="10">
        <f t="shared" si="2"/>
        <v>0.48599999999999999</v>
      </c>
      <c r="G49" s="21">
        <v>22.950000000000017</v>
      </c>
      <c r="H49" s="5">
        <v>0</v>
      </c>
      <c r="I49" s="8">
        <f t="shared" si="3"/>
        <v>0</v>
      </c>
      <c r="J49" s="57">
        <f t="shared" si="1"/>
        <v>0</v>
      </c>
      <c r="K49" s="20">
        <v>800</v>
      </c>
      <c r="L49" s="50">
        <f t="shared" si="0"/>
        <v>0</v>
      </c>
    </row>
    <row r="50" spans="1:12" x14ac:dyDescent="0.25">
      <c r="A50" s="34" t="s">
        <v>44</v>
      </c>
      <c r="B50" s="89" t="s">
        <v>3</v>
      </c>
      <c r="C50" s="90"/>
      <c r="D50" s="9">
        <v>0.4</v>
      </c>
      <c r="E50" s="5">
        <v>1.2</v>
      </c>
      <c r="F50" s="10">
        <f t="shared" si="2"/>
        <v>0.48</v>
      </c>
      <c r="G50" s="21">
        <v>22.666666666666682</v>
      </c>
      <c r="H50" s="5">
        <v>0</v>
      </c>
      <c r="I50" s="8">
        <f t="shared" si="3"/>
        <v>0</v>
      </c>
      <c r="J50" s="57">
        <f t="shared" si="1"/>
        <v>0</v>
      </c>
      <c r="K50" s="20">
        <v>800</v>
      </c>
      <c r="L50" s="50">
        <f t="shared" si="0"/>
        <v>0</v>
      </c>
    </row>
    <row r="51" spans="1:12" x14ac:dyDescent="0.25">
      <c r="A51" s="33" t="s">
        <v>45</v>
      </c>
      <c r="B51" s="89" t="s">
        <v>3</v>
      </c>
      <c r="C51" s="90"/>
      <c r="D51" s="9">
        <v>0.39500000000000002</v>
      </c>
      <c r="E51" s="5">
        <v>1.2</v>
      </c>
      <c r="F51" s="10">
        <f t="shared" si="2"/>
        <v>0.47399999999999998</v>
      </c>
      <c r="G51" s="21">
        <v>22.383333333333347</v>
      </c>
      <c r="H51" s="5">
        <v>0</v>
      </c>
      <c r="I51" s="8">
        <f t="shared" si="3"/>
        <v>0</v>
      </c>
      <c r="J51" s="57">
        <f t="shared" si="1"/>
        <v>0</v>
      </c>
      <c r="K51" s="20">
        <v>800</v>
      </c>
      <c r="L51" s="50">
        <f t="shared" si="0"/>
        <v>0</v>
      </c>
    </row>
    <row r="52" spans="1:12" x14ac:dyDescent="0.25">
      <c r="A52" s="33" t="s">
        <v>46</v>
      </c>
      <c r="B52" s="89" t="s">
        <v>3</v>
      </c>
      <c r="C52" s="90"/>
      <c r="D52" s="9">
        <v>0.39</v>
      </c>
      <c r="E52" s="5">
        <v>1.2</v>
      </c>
      <c r="F52" s="10">
        <f t="shared" si="2"/>
        <v>0.46799999999999997</v>
      </c>
      <c r="G52" s="21">
        <v>22.100000000000012</v>
      </c>
      <c r="H52" s="5">
        <v>0</v>
      </c>
      <c r="I52" s="8">
        <f t="shared" si="3"/>
        <v>0</v>
      </c>
      <c r="J52" s="57">
        <f t="shared" si="1"/>
        <v>0</v>
      </c>
      <c r="K52" s="20">
        <v>800</v>
      </c>
      <c r="L52" s="50">
        <f t="shared" si="0"/>
        <v>0</v>
      </c>
    </row>
    <row r="53" spans="1:12" x14ac:dyDescent="0.25">
      <c r="A53" s="33" t="s">
        <v>47</v>
      </c>
      <c r="B53" s="89" t="s">
        <v>3</v>
      </c>
      <c r="C53" s="90"/>
      <c r="D53" s="9">
        <v>0.38500000000000001</v>
      </c>
      <c r="E53" s="5">
        <v>1.2</v>
      </c>
      <c r="F53" s="10">
        <f t="shared" si="2"/>
        <v>0.46199999999999997</v>
      </c>
      <c r="G53" s="21">
        <v>21.816666666666681</v>
      </c>
      <c r="H53" s="5">
        <v>0</v>
      </c>
      <c r="I53" s="8">
        <f t="shared" si="3"/>
        <v>0</v>
      </c>
      <c r="J53" s="57">
        <f t="shared" si="1"/>
        <v>0</v>
      </c>
      <c r="K53" s="20">
        <v>800</v>
      </c>
      <c r="L53" s="50">
        <f t="shared" si="0"/>
        <v>0</v>
      </c>
    </row>
    <row r="54" spans="1:12" x14ac:dyDescent="0.25">
      <c r="A54" s="33" t="s">
        <v>48</v>
      </c>
      <c r="B54" s="89" t="s">
        <v>3</v>
      </c>
      <c r="C54" s="90"/>
      <c r="D54" s="9">
        <v>0.38</v>
      </c>
      <c r="E54" s="5">
        <v>1.2</v>
      </c>
      <c r="F54" s="10">
        <f t="shared" si="2"/>
        <v>0.45599999999999996</v>
      </c>
      <c r="G54" s="21">
        <v>21.533333333333346</v>
      </c>
      <c r="H54" s="5">
        <v>0</v>
      </c>
      <c r="I54" s="8">
        <f t="shared" si="3"/>
        <v>0</v>
      </c>
      <c r="J54" s="57">
        <f t="shared" si="1"/>
        <v>0</v>
      </c>
      <c r="K54" s="20">
        <v>800</v>
      </c>
      <c r="L54" s="50">
        <f t="shared" si="0"/>
        <v>0</v>
      </c>
    </row>
    <row r="55" spans="1:12" x14ac:dyDescent="0.25">
      <c r="A55" s="34" t="s">
        <v>49</v>
      </c>
      <c r="B55" s="89" t="s">
        <v>3</v>
      </c>
      <c r="C55" s="90"/>
      <c r="D55" s="9">
        <v>0.375</v>
      </c>
      <c r="E55" s="5">
        <v>1.2</v>
      </c>
      <c r="F55" s="10">
        <f t="shared" si="2"/>
        <v>0.44999999999999996</v>
      </c>
      <c r="G55" s="21">
        <v>21.250000000000011</v>
      </c>
      <c r="H55" s="5">
        <v>0</v>
      </c>
      <c r="I55" s="8">
        <f t="shared" si="3"/>
        <v>0</v>
      </c>
      <c r="J55" s="57">
        <f t="shared" si="1"/>
        <v>0</v>
      </c>
      <c r="K55" s="20">
        <v>800</v>
      </c>
      <c r="L55" s="50">
        <f t="shared" si="0"/>
        <v>0</v>
      </c>
    </row>
    <row r="56" spans="1:12" x14ac:dyDescent="0.25">
      <c r="A56" s="33" t="s">
        <v>50</v>
      </c>
      <c r="B56" s="89" t="s">
        <v>3</v>
      </c>
      <c r="C56" s="90"/>
      <c r="D56" s="9">
        <v>0.37</v>
      </c>
      <c r="E56" s="5">
        <v>1.2</v>
      </c>
      <c r="F56" s="10">
        <f t="shared" si="2"/>
        <v>0.44400000000000001</v>
      </c>
      <c r="G56" s="21">
        <v>20.966666666666679</v>
      </c>
      <c r="H56" s="5">
        <v>0</v>
      </c>
      <c r="I56" s="8">
        <f t="shared" si="3"/>
        <v>0</v>
      </c>
      <c r="J56" s="57">
        <f t="shared" si="1"/>
        <v>0</v>
      </c>
      <c r="K56" s="20">
        <v>800</v>
      </c>
      <c r="L56" s="50">
        <f t="shared" si="0"/>
        <v>0</v>
      </c>
    </row>
    <row r="57" spans="1:12" x14ac:dyDescent="0.25">
      <c r="A57" s="33" t="s">
        <v>51</v>
      </c>
      <c r="B57" s="89" t="s">
        <v>3</v>
      </c>
      <c r="C57" s="90"/>
      <c r="D57" s="9">
        <v>0.36499999999999999</v>
      </c>
      <c r="E57" s="5">
        <v>1.2</v>
      </c>
      <c r="F57" s="10">
        <f t="shared" si="2"/>
        <v>0.438</v>
      </c>
      <c r="G57" s="21">
        <v>20.683333333333348</v>
      </c>
      <c r="H57" s="5">
        <v>0</v>
      </c>
      <c r="I57" s="8">
        <f t="shared" si="3"/>
        <v>0</v>
      </c>
      <c r="J57" s="57">
        <f t="shared" si="1"/>
        <v>0</v>
      </c>
      <c r="K57" s="20">
        <v>800</v>
      </c>
      <c r="L57" s="50">
        <f t="shared" si="0"/>
        <v>0</v>
      </c>
    </row>
    <row r="58" spans="1:12" x14ac:dyDescent="0.25">
      <c r="A58" s="33" t="s">
        <v>52</v>
      </c>
      <c r="B58" s="89" t="s">
        <v>3</v>
      </c>
      <c r="C58" s="90"/>
      <c r="D58" s="9">
        <v>0.36</v>
      </c>
      <c r="E58" s="5">
        <v>1.2</v>
      </c>
      <c r="F58" s="10">
        <f t="shared" si="2"/>
        <v>0.432</v>
      </c>
      <c r="G58" s="21">
        <v>20.400000000000013</v>
      </c>
      <c r="H58" s="5">
        <v>0</v>
      </c>
      <c r="I58" s="8">
        <f t="shared" si="3"/>
        <v>0</v>
      </c>
      <c r="J58" s="57">
        <f t="shared" si="1"/>
        <v>0</v>
      </c>
      <c r="K58" s="20">
        <v>800</v>
      </c>
      <c r="L58" s="50">
        <f t="shared" si="0"/>
        <v>0</v>
      </c>
    </row>
    <row r="59" spans="1:12" x14ac:dyDescent="0.25">
      <c r="A59" s="33" t="s">
        <v>53</v>
      </c>
      <c r="B59" s="89" t="s">
        <v>3</v>
      </c>
      <c r="C59" s="90"/>
      <c r="D59" s="9">
        <v>0.35499999999999998</v>
      </c>
      <c r="E59" s="5">
        <v>1.2</v>
      </c>
      <c r="F59" s="10">
        <f t="shared" si="2"/>
        <v>0.42599999999999999</v>
      </c>
      <c r="G59" s="21">
        <v>20.116666666666681</v>
      </c>
      <c r="H59" s="5">
        <v>0</v>
      </c>
      <c r="I59" s="8">
        <f t="shared" si="3"/>
        <v>0</v>
      </c>
      <c r="J59" s="57">
        <f t="shared" si="1"/>
        <v>0</v>
      </c>
      <c r="K59" s="20">
        <v>800</v>
      </c>
      <c r="L59" s="50">
        <f t="shared" si="0"/>
        <v>0</v>
      </c>
    </row>
    <row r="60" spans="1:12" x14ac:dyDescent="0.25">
      <c r="A60" s="34" t="s">
        <v>54</v>
      </c>
      <c r="B60" s="89" t="s">
        <v>3</v>
      </c>
      <c r="C60" s="90"/>
      <c r="D60" s="9">
        <v>0.35</v>
      </c>
      <c r="E60" s="5">
        <v>1.2</v>
      </c>
      <c r="F60" s="10">
        <f t="shared" si="2"/>
        <v>0.42</v>
      </c>
      <c r="G60" s="21">
        <v>19.833333333333346</v>
      </c>
      <c r="H60" s="5">
        <v>0</v>
      </c>
      <c r="I60" s="8">
        <f t="shared" si="3"/>
        <v>0</v>
      </c>
      <c r="J60" s="57">
        <f t="shared" si="1"/>
        <v>0</v>
      </c>
      <c r="K60" s="20">
        <v>800</v>
      </c>
      <c r="L60" s="50">
        <f t="shared" si="0"/>
        <v>0</v>
      </c>
    </row>
    <row r="61" spans="1:12" x14ac:dyDescent="0.25">
      <c r="A61" s="33" t="s">
        <v>55</v>
      </c>
      <c r="B61" s="89" t="s">
        <v>3</v>
      </c>
      <c r="C61" s="90"/>
      <c r="D61" s="9">
        <v>0.34499999999999997</v>
      </c>
      <c r="E61" s="5">
        <v>1.2</v>
      </c>
      <c r="F61" s="10">
        <f t="shared" si="2"/>
        <v>0.41399999999999998</v>
      </c>
      <c r="G61" s="21">
        <v>19.550000000000015</v>
      </c>
      <c r="H61" s="5">
        <v>0</v>
      </c>
      <c r="I61" s="8">
        <f t="shared" si="3"/>
        <v>0</v>
      </c>
      <c r="J61" s="57">
        <f t="shared" si="1"/>
        <v>0</v>
      </c>
      <c r="K61" s="20">
        <v>800</v>
      </c>
      <c r="L61" s="50">
        <f t="shared" si="0"/>
        <v>0</v>
      </c>
    </row>
    <row r="62" spans="1:12" x14ac:dyDescent="0.25">
      <c r="A62" s="33" t="s">
        <v>56</v>
      </c>
      <c r="B62" s="89" t="s">
        <v>3</v>
      </c>
      <c r="C62" s="90"/>
      <c r="D62" s="9">
        <v>0.34</v>
      </c>
      <c r="E62" s="5">
        <v>1.2</v>
      </c>
      <c r="F62" s="10">
        <f t="shared" si="2"/>
        <v>0.40800000000000003</v>
      </c>
      <c r="G62" s="21">
        <v>19.266666666666683</v>
      </c>
      <c r="H62" s="5">
        <v>0</v>
      </c>
      <c r="I62" s="8">
        <f t="shared" si="3"/>
        <v>0</v>
      </c>
      <c r="J62" s="57">
        <f t="shared" si="1"/>
        <v>0</v>
      </c>
      <c r="K62" s="20">
        <v>800</v>
      </c>
      <c r="L62" s="50">
        <f t="shared" si="0"/>
        <v>0</v>
      </c>
    </row>
    <row r="63" spans="1:12" x14ac:dyDescent="0.25">
      <c r="A63" s="33" t="s">
        <v>57</v>
      </c>
      <c r="B63" s="89" t="s">
        <v>3</v>
      </c>
      <c r="C63" s="90"/>
      <c r="D63" s="9">
        <v>0.33500000000000002</v>
      </c>
      <c r="E63" s="5">
        <v>1.2</v>
      </c>
      <c r="F63" s="10">
        <f t="shared" si="2"/>
        <v>0.40200000000000002</v>
      </c>
      <c r="G63" s="21">
        <v>18.983333333333352</v>
      </c>
      <c r="H63" s="5">
        <v>0</v>
      </c>
      <c r="I63" s="8">
        <f t="shared" si="3"/>
        <v>0</v>
      </c>
      <c r="J63" s="57">
        <f t="shared" si="1"/>
        <v>0</v>
      </c>
      <c r="K63" s="20">
        <v>800</v>
      </c>
      <c r="L63" s="50">
        <f t="shared" si="0"/>
        <v>0</v>
      </c>
    </row>
    <row r="64" spans="1:12" x14ac:dyDescent="0.25">
      <c r="A64" s="33" t="s">
        <v>58</v>
      </c>
      <c r="B64" s="89" t="s">
        <v>3</v>
      </c>
      <c r="C64" s="90"/>
      <c r="D64" s="9">
        <v>0.33</v>
      </c>
      <c r="E64" s="5">
        <v>1.2</v>
      </c>
      <c r="F64" s="10">
        <f t="shared" si="2"/>
        <v>0.39600000000000002</v>
      </c>
      <c r="G64" s="21">
        <v>18.700000000000017</v>
      </c>
      <c r="H64" s="5">
        <v>0</v>
      </c>
      <c r="I64" s="8">
        <f t="shared" si="3"/>
        <v>0</v>
      </c>
      <c r="J64" s="57">
        <f t="shared" si="1"/>
        <v>0</v>
      </c>
      <c r="K64" s="20">
        <v>800</v>
      </c>
      <c r="L64" s="50">
        <f t="shared" si="0"/>
        <v>0</v>
      </c>
    </row>
    <row r="65" spans="1:12" x14ac:dyDescent="0.25">
      <c r="A65" s="34" t="s">
        <v>59</v>
      </c>
      <c r="B65" s="89" t="s">
        <v>3</v>
      </c>
      <c r="C65" s="90"/>
      <c r="D65" s="9">
        <v>0.32500000000000001</v>
      </c>
      <c r="E65" s="5">
        <v>1.2</v>
      </c>
      <c r="F65" s="10">
        <f t="shared" si="2"/>
        <v>0.39</v>
      </c>
      <c r="G65" s="21">
        <v>18.416666666666686</v>
      </c>
      <c r="H65" s="5">
        <v>0</v>
      </c>
      <c r="I65" s="8">
        <f t="shared" si="3"/>
        <v>0</v>
      </c>
      <c r="J65" s="57">
        <f t="shared" si="1"/>
        <v>0</v>
      </c>
      <c r="K65" s="20">
        <v>800</v>
      </c>
      <c r="L65" s="50">
        <f t="shared" si="0"/>
        <v>0</v>
      </c>
    </row>
    <row r="66" spans="1:12" x14ac:dyDescent="0.25">
      <c r="A66" s="33" t="s">
        <v>60</v>
      </c>
      <c r="B66" s="89" t="s">
        <v>3</v>
      </c>
      <c r="C66" s="90"/>
      <c r="D66" s="9">
        <v>0.32</v>
      </c>
      <c r="E66" s="5">
        <v>1.2</v>
      </c>
      <c r="F66" s="10">
        <f t="shared" si="2"/>
        <v>0.38400000000000001</v>
      </c>
      <c r="G66" s="21">
        <v>18.133333333333351</v>
      </c>
      <c r="H66" s="5">
        <v>0</v>
      </c>
      <c r="I66" s="8">
        <f t="shared" si="3"/>
        <v>0</v>
      </c>
      <c r="J66" s="57">
        <f t="shared" si="1"/>
        <v>0</v>
      </c>
      <c r="K66" s="20">
        <v>800</v>
      </c>
      <c r="L66" s="50">
        <f t="shared" si="0"/>
        <v>0</v>
      </c>
    </row>
    <row r="67" spans="1:12" x14ac:dyDescent="0.25">
      <c r="A67" s="33" t="s">
        <v>61</v>
      </c>
      <c r="B67" s="89" t="s">
        <v>3</v>
      </c>
      <c r="C67" s="90"/>
      <c r="D67" s="9">
        <v>0.315</v>
      </c>
      <c r="E67" s="5">
        <v>1.2</v>
      </c>
      <c r="F67" s="10">
        <f t="shared" si="2"/>
        <v>0.378</v>
      </c>
      <c r="G67" s="21">
        <v>17.850000000000016</v>
      </c>
      <c r="H67" s="5">
        <v>0</v>
      </c>
      <c r="I67" s="8">
        <f t="shared" si="3"/>
        <v>0</v>
      </c>
      <c r="J67" s="57">
        <f t="shared" si="1"/>
        <v>0</v>
      </c>
      <c r="K67" s="20">
        <v>800</v>
      </c>
      <c r="L67" s="50">
        <f t="shared" si="0"/>
        <v>0</v>
      </c>
    </row>
    <row r="68" spans="1:12" x14ac:dyDescent="0.25">
      <c r="A68" s="33" t="s">
        <v>62</v>
      </c>
      <c r="B68" s="89" t="s">
        <v>3</v>
      </c>
      <c r="C68" s="90"/>
      <c r="D68" s="9">
        <v>0.31</v>
      </c>
      <c r="E68" s="5">
        <v>1.2</v>
      </c>
      <c r="F68" s="10">
        <f t="shared" si="2"/>
        <v>0.372</v>
      </c>
      <c r="G68" s="21">
        <v>17.566666666666681</v>
      </c>
      <c r="H68" s="5">
        <v>0</v>
      </c>
      <c r="I68" s="8">
        <f t="shared" si="3"/>
        <v>0</v>
      </c>
      <c r="J68" s="57">
        <f t="shared" si="1"/>
        <v>0</v>
      </c>
      <c r="K68" s="20">
        <v>800</v>
      </c>
      <c r="L68" s="50">
        <f t="shared" si="0"/>
        <v>0</v>
      </c>
    </row>
    <row r="69" spans="1:12" x14ac:dyDescent="0.25">
      <c r="A69" s="33" t="s">
        <v>63</v>
      </c>
      <c r="B69" s="89" t="s">
        <v>3</v>
      </c>
      <c r="C69" s="90"/>
      <c r="D69" s="9">
        <v>0.30499999999999999</v>
      </c>
      <c r="E69" s="5">
        <v>1.2</v>
      </c>
      <c r="F69" s="10">
        <f t="shared" si="2"/>
        <v>0.36599999999999999</v>
      </c>
      <c r="G69" s="21">
        <v>17.283333333333346</v>
      </c>
      <c r="H69" s="5">
        <v>0</v>
      </c>
      <c r="I69" s="8">
        <f t="shared" si="3"/>
        <v>0</v>
      </c>
      <c r="J69" s="57">
        <f t="shared" si="1"/>
        <v>0</v>
      </c>
      <c r="K69" s="20">
        <v>800</v>
      </c>
      <c r="L69" s="50">
        <f t="shared" si="0"/>
        <v>0</v>
      </c>
    </row>
    <row r="70" spans="1:12" x14ac:dyDescent="0.25">
      <c r="A70" s="34" t="s">
        <v>64</v>
      </c>
      <c r="B70" s="89" t="s">
        <v>3</v>
      </c>
      <c r="C70" s="90"/>
      <c r="D70" s="9">
        <v>0.3</v>
      </c>
      <c r="E70" s="5">
        <v>1.2</v>
      </c>
      <c r="F70" s="10">
        <f t="shared" si="2"/>
        <v>0.36</v>
      </c>
      <c r="G70" s="21">
        <v>17.000000000000011</v>
      </c>
      <c r="H70" s="5">
        <v>0</v>
      </c>
      <c r="I70" s="8">
        <f t="shared" si="3"/>
        <v>0</v>
      </c>
      <c r="J70" s="57">
        <f t="shared" si="1"/>
        <v>0</v>
      </c>
      <c r="K70" s="20">
        <v>800</v>
      </c>
      <c r="L70" s="50">
        <f t="shared" ref="L70:L119" si="4">$F70*$H70*$K70</f>
        <v>0</v>
      </c>
    </row>
    <row r="71" spans="1:12" x14ac:dyDescent="0.25">
      <c r="A71" s="33" t="s">
        <v>65</v>
      </c>
      <c r="B71" s="89" t="s">
        <v>3</v>
      </c>
      <c r="C71" s="90"/>
      <c r="D71" s="9">
        <v>0.29499999999999998</v>
      </c>
      <c r="E71" s="5">
        <v>1.2</v>
      </c>
      <c r="F71" s="10">
        <f t="shared" si="2"/>
        <v>0.35399999999999998</v>
      </c>
      <c r="G71" s="21">
        <v>16.716666666666676</v>
      </c>
      <c r="H71" s="5">
        <v>0</v>
      </c>
      <c r="I71" s="8">
        <f t="shared" si="3"/>
        <v>0</v>
      </c>
      <c r="J71" s="57">
        <f t="shared" si="1"/>
        <v>0</v>
      </c>
      <c r="K71" s="20">
        <v>800</v>
      </c>
      <c r="L71" s="50">
        <f t="shared" si="4"/>
        <v>0</v>
      </c>
    </row>
    <row r="72" spans="1:12" x14ac:dyDescent="0.25">
      <c r="A72" s="33" t="s">
        <v>66</v>
      </c>
      <c r="B72" s="89" t="s">
        <v>3</v>
      </c>
      <c r="C72" s="90"/>
      <c r="D72" s="9">
        <v>0.28999999999999998</v>
      </c>
      <c r="E72" s="5">
        <v>1.2</v>
      </c>
      <c r="F72" s="10">
        <f t="shared" si="2"/>
        <v>0.34799999999999998</v>
      </c>
      <c r="G72" s="21">
        <v>16.433333333333341</v>
      </c>
      <c r="H72" s="5">
        <v>0</v>
      </c>
      <c r="I72" s="8">
        <f t="shared" si="3"/>
        <v>0</v>
      </c>
      <c r="J72" s="57">
        <f t="shared" si="1"/>
        <v>0</v>
      </c>
      <c r="K72" s="20">
        <v>800</v>
      </c>
      <c r="L72" s="50">
        <f t="shared" si="4"/>
        <v>0</v>
      </c>
    </row>
    <row r="73" spans="1:12" x14ac:dyDescent="0.25">
      <c r="A73" s="33" t="s">
        <v>67</v>
      </c>
      <c r="B73" s="89" t="s">
        <v>3</v>
      </c>
      <c r="C73" s="90"/>
      <c r="D73" s="9">
        <v>0.28499999999999998</v>
      </c>
      <c r="E73" s="5">
        <v>1.2</v>
      </c>
      <c r="F73" s="10">
        <f t="shared" si="2"/>
        <v>0.34199999999999997</v>
      </c>
      <c r="G73" s="21">
        <v>16.150000000000009</v>
      </c>
      <c r="H73" s="5">
        <v>0</v>
      </c>
      <c r="I73" s="8">
        <f t="shared" si="3"/>
        <v>0</v>
      </c>
      <c r="J73" s="57">
        <f t="shared" si="1"/>
        <v>0</v>
      </c>
      <c r="K73" s="20">
        <v>800</v>
      </c>
      <c r="L73" s="50">
        <f t="shared" si="4"/>
        <v>0</v>
      </c>
    </row>
    <row r="74" spans="1:12" x14ac:dyDescent="0.25">
      <c r="A74" s="33" t="s">
        <v>68</v>
      </c>
      <c r="B74" s="89" t="s">
        <v>3</v>
      </c>
      <c r="C74" s="90"/>
      <c r="D74" s="9">
        <v>0.28000000000000003</v>
      </c>
      <c r="E74" s="5">
        <v>1.2</v>
      </c>
      <c r="F74" s="10">
        <f t="shared" si="2"/>
        <v>0.33600000000000002</v>
      </c>
      <c r="G74" s="21">
        <v>15.86666666666668</v>
      </c>
      <c r="H74" s="5">
        <v>0</v>
      </c>
      <c r="I74" s="8">
        <f t="shared" si="3"/>
        <v>0</v>
      </c>
      <c r="J74" s="57">
        <f t="shared" ref="J74:J120" si="5">G74*$H74</f>
        <v>0</v>
      </c>
      <c r="K74" s="20">
        <v>800</v>
      </c>
      <c r="L74" s="50">
        <f t="shared" si="4"/>
        <v>0</v>
      </c>
    </row>
    <row r="75" spans="1:12" x14ac:dyDescent="0.25">
      <c r="A75" s="34" t="s">
        <v>69</v>
      </c>
      <c r="B75" s="89" t="s">
        <v>3</v>
      </c>
      <c r="C75" s="90"/>
      <c r="D75" s="9">
        <v>0.27500000000000002</v>
      </c>
      <c r="E75" s="5">
        <v>1.2</v>
      </c>
      <c r="F75" s="10">
        <f t="shared" ref="F75:F120" si="6">$D75*$E75</f>
        <v>0.33</v>
      </c>
      <c r="G75" s="21">
        <v>15.583333333333345</v>
      </c>
      <c r="H75" s="5">
        <v>0</v>
      </c>
      <c r="I75" s="8">
        <f t="shared" ref="I75:I120" si="7">$F75*$H75</f>
        <v>0</v>
      </c>
      <c r="J75" s="57">
        <f t="shared" si="5"/>
        <v>0</v>
      </c>
      <c r="K75" s="20">
        <v>800</v>
      </c>
      <c r="L75" s="50">
        <f t="shared" si="4"/>
        <v>0</v>
      </c>
    </row>
    <row r="76" spans="1:12" x14ac:dyDescent="0.25">
      <c r="A76" s="33" t="s">
        <v>70</v>
      </c>
      <c r="B76" s="89" t="s">
        <v>3</v>
      </c>
      <c r="C76" s="90"/>
      <c r="D76" s="9">
        <v>0.27</v>
      </c>
      <c r="E76" s="5">
        <v>1.2</v>
      </c>
      <c r="F76" s="10">
        <f t="shared" si="6"/>
        <v>0.32400000000000001</v>
      </c>
      <c r="G76" s="21">
        <v>15.300000000000011</v>
      </c>
      <c r="H76" s="5">
        <v>0</v>
      </c>
      <c r="I76" s="8">
        <f t="shared" si="7"/>
        <v>0</v>
      </c>
      <c r="J76" s="57">
        <f t="shared" si="5"/>
        <v>0</v>
      </c>
      <c r="K76" s="20">
        <v>800</v>
      </c>
      <c r="L76" s="50">
        <f t="shared" si="4"/>
        <v>0</v>
      </c>
    </row>
    <row r="77" spans="1:12" x14ac:dyDescent="0.25">
      <c r="A77" s="33" t="s">
        <v>71</v>
      </c>
      <c r="B77" s="89" t="s">
        <v>3</v>
      </c>
      <c r="C77" s="90"/>
      <c r="D77" s="9">
        <v>0.26500000000000001</v>
      </c>
      <c r="E77" s="5">
        <v>1.2</v>
      </c>
      <c r="F77" s="10">
        <f t="shared" si="6"/>
        <v>0.318</v>
      </c>
      <c r="G77" s="21">
        <v>15.016666666666678</v>
      </c>
      <c r="H77" s="5">
        <v>0</v>
      </c>
      <c r="I77" s="8">
        <f t="shared" si="7"/>
        <v>0</v>
      </c>
      <c r="J77" s="57">
        <f t="shared" si="5"/>
        <v>0</v>
      </c>
      <c r="K77" s="20">
        <v>800</v>
      </c>
      <c r="L77" s="50">
        <f t="shared" si="4"/>
        <v>0</v>
      </c>
    </row>
    <row r="78" spans="1:12" x14ac:dyDescent="0.25">
      <c r="A78" s="33" t="s">
        <v>72</v>
      </c>
      <c r="B78" s="89" t="s">
        <v>3</v>
      </c>
      <c r="C78" s="90"/>
      <c r="D78" s="9">
        <v>0.26</v>
      </c>
      <c r="E78" s="5">
        <v>1.2</v>
      </c>
      <c r="F78" s="10">
        <f t="shared" si="6"/>
        <v>0.312</v>
      </c>
      <c r="G78" s="21">
        <v>14.733333333333345</v>
      </c>
      <c r="H78" s="5">
        <v>0</v>
      </c>
      <c r="I78" s="8">
        <f t="shared" si="7"/>
        <v>0</v>
      </c>
      <c r="J78" s="57">
        <f t="shared" si="5"/>
        <v>0</v>
      </c>
      <c r="K78" s="20">
        <v>800</v>
      </c>
      <c r="L78" s="50">
        <f t="shared" si="4"/>
        <v>0</v>
      </c>
    </row>
    <row r="79" spans="1:12" x14ac:dyDescent="0.25">
      <c r="A79" s="33" t="s">
        <v>73</v>
      </c>
      <c r="B79" s="89" t="s">
        <v>3</v>
      </c>
      <c r="C79" s="90"/>
      <c r="D79" s="9">
        <v>0.255</v>
      </c>
      <c r="E79" s="5">
        <v>1.2</v>
      </c>
      <c r="F79" s="10">
        <f t="shared" si="6"/>
        <v>0.30599999999999999</v>
      </c>
      <c r="G79" s="21">
        <v>14.450000000000012</v>
      </c>
      <c r="H79" s="5">
        <v>0</v>
      </c>
      <c r="I79" s="8">
        <f t="shared" si="7"/>
        <v>0</v>
      </c>
      <c r="J79" s="57">
        <f t="shared" si="5"/>
        <v>0</v>
      </c>
      <c r="K79" s="20">
        <v>800</v>
      </c>
      <c r="L79" s="50">
        <f t="shared" si="4"/>
        <v>0</v>
      </c>
    </row>
    <row r="80" spans="1:12" x14ac:dyDescent="0.25">
      <c r="A80" s="34" t="s">
        <v>74</v>
      </c>
      <c r="B80" s="89" t="s">
        <v>3</v>
      </c>
      <c r="C80" s="90"/>
      <c r="D80" s="9">
        <v>0.25</v>
      </c>
      <c r="E80" s="5">
        <v>1.2</v>
      </c>
      <c r="F80" s="10">
        <f t="shared" si="6"/>
        <v>0.3</v>
      </c>
      <c r="G80" s="21">
        <v>14.166666666666679</v>
      </c>
      <c r="H80" s="5">
        <v>0</v>
      </c>
      <c r="I80" s="8">
        <f t="shared" si="7"/>
        <v>0</v>
      </c>
      <c r="J80" s="57">
        <f t="shared" si="5"/>
        <v>0</v>
      </c>
      <c r="K80" s="20">
        <v>800</v>
      </c>
      <c r="L80" s="50">
        <f t="shared" si="4"/>
        <v>0</v>
      </c>
    </row>
    <row r="81" spans="1:12" x14ac:dyDescent="0.25">
      <c r="A81" s="33" t="s">
        <v>75</v>
      </c>
      <c r="B81" s="89" t="s">
        <v>3</v>
      </c>
      <c r="C81" s="90"/>
      <c r="D81" s="9">
        <v>0.245</v>
      </c>
      <c r="E81" s="5">
        <v>1.2</v>
      </c>
      <c r="F81" s="10">
        <f t="shared" si="6"/>
        <v>0.29399999999999998</v>
      </c>
      <c r="G81" s="21">
        <v>13.883333333333345</v>
      </c>
      <c r="H81" s="5">
        <v>0</v>
      </c>
      <c r="I81" s="8">
        <f t="shared" si="7"/>
        <v>0</v>
      </c>
      <c r="J81" s="57">
        <f t="shared" si="5"/>
        <v>0</v>
      </c>
      <c r="K81" s="20">
        <v>800</v>
      </c>
      <c r="L81" s="50">
        <f t="shared" si="4"/>
        <v>0</v>
      </c>
    </row>
    <row r="82" spans="1:12" x14ac:dyDescent="0.25">
      <c r="A82" s="33" t="s">
        <v>76</v>
      </c>
      <c r="B82" s="89" t="s">
        <v>3</v>
      </c>
      <c r="C82" s="90"/>
      <c r="D82" s="9">
        <v>0.24</v>
      </c>
      <c r="E82" s="5">
        <v>1.2</v>
      </c>
      <c r="F82" s="10">
        <f t="shared" si="6"/>
        <v>0.28799999999999998</v>
      </c>
      <c r="G82" s="21">
        <v>13.600000000000012</v>
      </c>
      <c r="H82" s="5">
        <v>0</v>
      </c>
      <c r="I82" s="8">
        <f t="shared" si="7"/>
        <v>0</v>
      </c>
      <c r="J82" s="57">
        <f t="shared" si="5"/>
        <v>0</v>
      </c>
      <c r="K82" s="20">
        <v>800</v>
      </c>
      <c r="L82" s="50">
        <f t="shared" si="4"/>
        <v>0</v>
      </c>
    </row>
    <row r="83" spans="1:12" x14ac:dyDescent="0.25">
      <c r="A83" s="33" t="s">
        <v>77</v>
      </c>
      <c r="B83" s="89" t="s">
        <v>3</v>
      </c>
      <c r="C83" s="90"/>
      <c r="D83" s="9">
        <v>0.23499999999999999</v>
      </c>
      <c r="E83" s="5">
        <v>1.2</v>
      </c>
      <c r="F83" s="10">
        <f t="shared" si="6"/>
        <v>0.28199999999999997</v>
      </c>
      <c r="G83" s="21">
        <v>13.316666666666679</v>
      </c>
      <c r="H83" s="5">
        <v>0</v>
      </c>
      <c r="I83" s="8">
        <f t="shared" si="7"/>
        <v>0</v>
      </c>
      <c r="J83" s="57">
        <f t="shared" si="5"/>
        <v>0</v>
      </c>
      <c r="K83" s="20">
        <v>800</v>
      </c>
      <c r="L83" s="50">
        <f t="shared" si="4"/>
        <v>0</v>
      </c>
    </row>
    <row r="84" spans="1:12" x14ac:dyDescent="0.25">
      <c r="A84" s="33" t="s">
        <v>78</v>
      </c>
      <c r="B84" s="89" t="s">
        <v>3</v>
      </c>
      <c r="C84" s="90"/>
      <c r="D84" s="9">
        <v>0.23</v>
      </c>
      <c r="E84" s="5">
        <v>1.2</v>
      </c>
      <c r="F84" s="10">
        <f t="shared" si="6"/>
        <v>0.27600000000000002</v>
      </c>
      <c r="G84" s="21">
        <v>13.033333333333347</v>
      </c>
      <c r="H84" s="5">
        <v>0</v>
      </c>
      <c r="I84" s="8">
        <f t="shared" si="7"/>
        <v>0</v>
      </c>
      <c r="J84" s="57">
        <f t="shared" si="5"/>
        <v>0</v>
      </c>
      <c r="K84" s="20">
        <v>800</v>
      </c>
      <c r="L84" s="50">
        <f t="shared" si="4"/>
        <v>0</v>
      </c>
    </row>
    <row r="85" spans="1:12" x14ac:dyDescent="0.25">
      <c r="A85" s="34" t="s">
        <v>79</v>
      </c>
      <c r="B85" s="89" t="s">
        <v>3</v>
      </c>
      <c r="C85" s="90"/>
      <c r="D85" s="9">
        <v>0.22500000000000001</v>
      </c>
      <c r="E85" s="5">
        <v>1.2</v>
      </c>
      <c r="F85" s="10">
        <f t="shared" si="6"/>
        <v>0.27</v>
      </c>
      <c r="G85" s="21">
        <v>12.750000000000014</v>
      </c>
      <c r="H85" s="5">
        <v>0</v>
      </c>
      <c r="I85" s="8">
        <f t="shared" si="7"/>
        <v>0</v>
      </c>
      <c r="J85" s="57">
        <f t="shared" si="5"/>
        <v>0</v>
      </c>
      <c r="K85" s="20">
        <v>800</v>
      </c>
      <c r="L85" s="50">
        <f t="shared" si="4"/>
        <v>0</v>
      </c>
    </row>
    <row r="86" spans="1:12" x14ac:dyDescent="0.25">
      <c r="A86" s="33" t="s">
        <v>80</v>
      </c>
      <c r="B86" s="89" t="s">
        <v>3</v>
      </c>
      <c r="C86" s="90"/>
      <c r="D86" s="9">
        <v>0.22</v>
      </c>
      <c r="E86" s="5">
        <v>1.2</v>
      </c>
      <c r="F86" s="10">
        <f t="shared" si="6"/>
        <v>0.26400000000000001</v>
      </c>
      <c r="G86" s="21">
        <v>12.466666666666681</v>
      </c>
      <c r="H86" s="5">
        <v>0</v>
      </c>
      <c r="I86" s="8">
        <f t="shared" si="7"/>
        <v>0</v>
      </c>
      <c r="J86" s="57">
        <f t="shared" si="5"/>
        <v>0</v>
      </c>
      <c r="K86" s="20">
        <v>800</v>
      </c>
      <c r="L86" s="50">
        <f t="shared" si="4"/>
        <v>0</v>
      </c>
    </row>
    <row r="87" spans="1:12" x14ac:dyDescent="0.25">
      <c r="A87" s="33" t="s">
        <v>81</v>
      </c>
      <c r="B87" s="89" t="s">
        <v>3</v>
      </c>
      <c r="C87" s="90"/>
      <c r="D87" s="9">
        <v>0.215</v>
      </c>
      <c r="E87" s="5">
        <v>1.2</v>
      </c>
      <c r="F87" s="10">
        <f t="shared" si="6"/>
        <v>0.25800000000000001</v>
      </c>
      <c r="G87" s="21">
        <v>12.183333333333346</v>
      </c>
      <c r="H87" s="5">
        <v>0</v>
      </c>
      <c r="I87" s="8">
        <f t="shared" si="7"/>
        <v>0</v>
      </c>
      <c r="J87" s="57">
        <f t="shared" si="5"/>
        <v>0</v>
      </c>
      <c r="K87" s="20">
        <v>800</v>
      </c>
      <c r="L87" s="50">
        <f t="shared" si="4"/>
        <v>0</v>
      </c>
    </row>
    <row r="88" spans="1:12" x14ac:dyDescent="0.25">
      <c r="A88" s="33" t="s">
        <v>82</v>
      </c>
      <c r="B88" s="89" t="s">
        <v>3</v>
      </c>
      <c r="C88" s="90"/>
      <c r="D88" s="9">
        <v>0.21</v>
      </c>
      <c r="E88" s="5">
        <v>1.2</v>
      </c>
      <c r="F88" s="10">
        <f t="shared" si="6"/>
        <v>0.252</v>
      </c>
      <c r="G88" s="21">
        <v>11.900000000000013</v>
      </c>
      <c r="H88" s="5">
        <v>0</v>
      </c>
      <c r="I88" s="8">
        <f t="shared" si="7"/>
        <v>0</v>
      </c>
      <c r="J88" s="57">
        <f t="shared" si="5"/>
        <v>0</v>
      </c>
      <c r="K88" s="20">
        <v>800</v>
      </c>
      <c r="L88" s="50">
        <f t="shared" si="4"/>
        <v>0</v>
      </c>
    </row>
    <row r="89" spans="1:12" x14ac:dyDescent="0.25">
      <c r="A89" s="33" t="s">
        <v>83</v>
      </c>
      <c r="B89" s="89" t="s">
        <v>3</v>
      </c>
      <c r="C89" s="90"/>
      <c r="D89" s="9">
        <v>0.20499999999999999</v>
      </c>
      <c r="E89" s="5">
        <v>1.2</v>
      </c>
      <c r="F89" s="10">
        <f t="shared" si="6"/>
        <v>0.24599999999999997</v>
      </c>
      <c r="G89" s="21">
        <v>11.616666666666678</v>
      </c>
      <c r="H89" s="5">
        <v>0</v>
      </c>
      <c r="I89" s="8">
        <f t="shared" si="7"/>
        <v>0</v>
      </c>
      <c r="J89" s="57">
        <f t="shared" si="5"/>
        <v>0</v>
      </c>
      <c r="K89" s="20">
        <v>800</v>
      </c>
      <c r="L89" s="50">
        <f t="shared" si="4"/>
        <v>0</v>
      </c>
    </row>
    <row r="90" spans="1:12" x14ac:dyDescent="0.25">
      <c r="A90" s="34" t="s">
        <v>84</v>
      </c>
      <c r="B90" s="89" t="s">
        <v>3</v>
      </c>
      <c r="C90" s="90"/>
      <c r="D90" s="9">
        <v>0.2</v>
      </c>
      <c r="E90" s="5">
        <v>1.2</v>
      </c>
      <c r="F90" s="10">
        <f t="shared" si="6"/>
        <v>0.24</v>
      </c>
      <c r="G90" s="21">
        <v>11.333333333333345</v>
      </c>
      <c r="H90" s="5">
        <v>0</v>
      </c>
      <c r="I90" s="8">
        <f t="shared" si="7"/>
        <v>0</v>
      </c>
      <c r="J90" s="57">
        <f t="shared" si="5"/>
        <v>0</v>
      </c>
      <c r="K90" s="20">
        <v>800</v>
      </c>
      <c r="L90" s="50">
        <f t="shared" si="4"/>
        <v>0</v>
      </c>
    </row>
    <row r="91" spans="1:12" x14ac:dyDescent="0.25">
      <c r="A91" s="33" t="s">
        <v>85</v>
      </c>
      <c r="B91" s="89" t="s">
        <v>3</v>
      </c>
      <c r="C91" s="90"/>
      <c r="D91" s="9">
        <v>0.19500000000000001</v>
      </c>
      <c r="E91" s="5">
        <v>1.2</v>
      </c>
      <c r="F91" s="10">
        <f t="shared" si="6"/>
        <v>0.23399999999999999</v>
      </c>
      <c r="G91" s="21">
        <v>11.05000000000001</v>
      </c>
      <c r="H91" s="5">
        <v>0</v>
      </c>
      <c r="I91" s="8">
        <f t="shared" si="7"/>
        <v>0</v>
      </c>
      <c r="J91" s="57">
        <f t="shared" si="5"/>
        <v>0</v>
      </c>
      <c r="K91" s="20">
        <v>800</v>
      </c>
      <c r="L91" s="50">
        <f t="shared" si="4"/>
        <v>0</v>
      </c>
    </row>
    <row r="92" spans="1:12" x14ac:dyDescent="0.25">
      <c r="A92" s="33" t="s">
        <v>86</v>
      </c>
      <c r="B92" s="89" t="s">
        <v>3</v>
      </c>
      <c r="C92" s="90"/>
      <c r="D92" s="9">
        <v>0.19</v>
      </c>
      <c r="E92" s="5">
        <v>1.2</v>
      </c>
      <c r="F92" s="10">
        <f t="shared" si="6"/>
        <v>0.22799999999999998</v>
      </c>
      <c r="G92" s="21">
        <v>10.766666666666675</v>
      </c>
      <c r="H92" s="5">
        <v>0</v>
      </c>
      <c r="I92" s="8">
        <f t="shared" si="7"/>
        <v>0</v>
      </c>
      <c r="J92" s="57">
        <f t="shared" si="5"/>
        <v>0</v>
      </c>
      <c r="K92" s="20">
        <v>800</v>
      </c>
      <c r="L92" s="50">
        <f t="shared" si="4"/>
        <v>0</v>
      </c>
    </row>
    <row r="93" spans="1:12" x14ac:dyDescent="0.25">
      <c r="A93" s="33" t="s">
        <v>87</v>
      </c>
      <c r="B93" s="89" t="s">
        <v>3</v>
      </c>
      <c r="C93" s="90"/>
      <c r="D93" s="9">
        <v>0.185</v>
      </c>
      <c r="E93" s="5">
        <v>1.2</v>
      </c>
      <c r="F93" s="10">
        <f t="shared" si="6"/>
        <v>0.222</v>
      </c>
      <c r="G93" s="21">
        <v>10.483333333333343</v>
      </c>
      <c r="H93" s="5">
        <v>0</v>
      </c>
      <c r="I93" s="8">
        <f t="shared" si="7"/>
        <v>0</v>
      </c>
      <c r="J93" s="57">
        <f t="shared" si="5"/>
        <v>0</v>
      </c>
      <c r="K93" s="20">
        <v>800</v>
      </c>
      <c r="L93" s="50">
        <f t="shared" si="4"/>
        <v>0</v>
      </c>
    </row>
    <row r="94" spans="1:12" x14ac:dyDescent="0.25">
      <c r="A94" s="33" t="s">
        <v>88</v>
      </c>
      <c r="B94" s="89" t="s">
        <v>3</v>
      </c>
      <c r="C94" s="90"/>
      <c r="D94" s="9">
        <v>0.18</v>
      </c>
      <c r="E94" s="5">
        <v>1.2</v>
      </c>
      <c r="F94" s="10">
        <f t="shared" si="6"/>
        <v>0.216</v>
      </c>
      <c r="G94" s="21">
        <v>10.200000000000008</v>
      </c>
      <c r="H94" s="5">
        <v>0</v>
      </c>
      <c r="I94" s="8">
        <f t="shared" si="7"/>
        <v>0</v>
      </c>
      <c r="J94" s="57">
        <f t="shared" si="5"/>
        <v>0</v>
      </c>
      <c r="K94" s="20">
        <v>800</v>
      </c>
      <c r="L94" s="50">
        <f t="shared" si="4"/>
        <v>0</v>
      </c>
    </row>
    <row r="95" spans="1:12" x14ac:dyDescent="0.25">
      <c r="A95" s="34" t="s">
        <v>89</v>
      </c>
      <c r="B95" s="89" t="s">
        <v>3</v>
      </c>
      <c r="C95" s="90"/>
      <c r="D95" s="9">
        <v>0.17499999999999999</v>
      </c>
      <c r="E95" s="5">
        <v>1.2</v>
      </c>
      <c r="F95" s="10">
        <f t="shared" si="6"/>
        <v>0.21</v>
      </c>
      <c r="G95" s="21">
        <v>9.916666666666675</v>
      </c>
      <c r="H95" s="5">
        <v>0</v>
      </c>
      <c r="I95" s="8">
        <f t="shared" si="7"/>
        <v>0</v>
      </c>
      <c r="J95" s="57">
        <f t="shared" si="5"/>
        <v>0</v>
      </c>
      <c r="K95" s="20">
        <v>800</v>
      </c>
      <c r="L95" s="50">
        <f t="shared" si="4"/>
        <v>0</v>
      </c>
    </row>
    <row r="96" spans="1:12" x14ac:dyDescent="0.25">
      <c r="A96" s="33" t="s">
        <v>90</v>
      </c>
      <c r="B96" s="89" t="s">
        <v>3</v>
      </c>
      <c r="C96" s="90"/>
      <c r="D96" s="9">
        <v>0.17</v>
      </c>
      <c r="E96" s="5">
        <v>1.2</v>
      </c>
      <c r="F96" s="10">
        <f t="shared" si="6"/>
        <v>0.20400000000000001</v>
      </c>
      <c r="G96" s="21">
        <v>9.6333333333333435</v>
      </c>
      <c r="H96" s="5">
        <v>0</v>
      </c>
      <c r="I96" s="8">
        <f t="shared" si="7"/>
        <v>0</v>
      </c>
      <c r="J96" s="57">
        <f t="shared" si="5"/>
        <v>0</v>
      </c>
      <c r="K96" s="20">
        <v>800</v>
      </c>
      <c r="L96" s="50">
        <f t="shared" si="4"/>
        <v>0</v>
      </c>
    </row>
    <row r="97" spans="1:28" x14ac:dyDescent="0.25">
      <c r="A97" s="33" t="s">
        <v>91</v>
      </c>
      <c r="B97" s="89" t="s">
        <v>3</v>
      </c>
      <c r="C97" s="90"/>
      <c r="D97" s="9">
        <v>0.16500000000000001</v>
      </c>
      <c r="E97" s="5">
        <v>1.2</v>
      </c>
      <c r="F97" s="10">
        <f t="shared" si="6"/>
        <v>0.19800000000000001</v>
      </c>
      <c r="G97" s="21">
        <v>9.3500000000000103</v>
      </c>
      <c r="H97" s="5">
        <v>0</v>
      </c>
      <c r="I97" s="8">
        <f t="shared" si="7"/>
        <v>0</v>
      </c>
      <c r="J97" s="57">
        <f t="shared" si="5"/>
        <v>0</v>
      </c>
      <c r="K97" s="20">
        <v>800</v>
      </c>
      <c r="L97" s="50">
        <f t="shared" si="4"/>
        <v>0</v>
      </c>
    </row>
    <row r="98" spans="1:28" x14ac:dyDescent="0.25">
      <c r="A98" s="33" t="s">
        <v>92</v>
      </c>
      <c r="B98" s="89" t="s">
        <v>3</v>
      </c>
      <c r="C98" s="90"/>
      <c r="D98" s="9">
        <v>0.16</v>
      </c>
      <c r="E98" s="5">
        <v>1.2</v>
      </c>
      <c r="F98" s="10">
        <f t="shared" si="6"/>
        <v>0.192</v>
      </c>
      <c r="G98" s="21">
        <v>9.0666666666666753</v>
      </c>
      <c r="H98" s="5">
        <v>0</v>
      </c>
      <c r="I98" s="8">
        <f t="shared" si="7"/>
        <v>0</v>
      </c>
      <c r="J98" s="57">
        <f t="shared" si="5"/>
        <v>0</v>
      </c>
      <c r="K98" s="20">
        <v>800</v>
      </c>
      <c r="L98" s="50">
        <f t="shared" si="4"/>
        <v>0</v>
      </c>
    </row>
    <row r="99" spans="1:28" x14ac:dyDescent="0.25">
      <c r="A99" s="33" t="s">
        <v>93</v>
      </c>
      <c r="B99" s="89" t="s">
        <v>3</v>
      </c>
      <c r="C99" s="90"/>
      <c r="D99" s="9">
        <v>0.155</v>
      </c>
      <c r="E99" s="5">
        <v>1.2</v>
      </c>
      <c r="F99" s="10">
        <f t="shared" si="6"/>
        <v>0.186</v>
      </c>
      <c r="G99" s="21">
        <v>8.7833333333333421</v>
      </c>
      <c r="H99" s="5">
        <v>0</v>
      </c>
      <c r="I99" s="8">
        <f t="shared" si="7"/>
        <v>0</v>
      </c>
      <c r="J99" s="57">
        <f t="shared" si="5"/>
        <v>0</v>
      </c>
      <c r="K99" s="20">
        <v>800</v>
      </c>
      <c r="L99" s="50">
        <f t="shared" si="4"/>
        <v>0</v>
      </c>
    </row>
    <row r="100" spans="1:28" x14ac:dyDescent="0.25">
      <c r="A100" s="34" t="s">
        <v>94</v>
      </c>
      <c r="B100" s="89" t="s">
        <v>3</v>
      </c>
      <c r="C100" s="90"/>
      <c r="D100" s="9">
        <v>0.15</v>
      </c>
      <c r="E100" s="5">
        <v>1.2</v>
      </c>
      <c r="F100" s="10">
        <f t="shared" si="6"/>
        <v>0.18</v>
      </c>
      <c r="G100" s="21">
        <v>8.5000000000000089</v>
      </c>
      <c r="H100" s="5">
        <v>0</v>
      </c>
      <c r="I100" s="8">
        <f t="shared" si="7"/>
        <v>0</v>
      </c>
      <c r="J100" s="57">
        <f t="shared" si="5"/>
        <v>0</v>
      </c>
      <c r="K100" s="20">
        <v>800</v>
      </c>
      <c r="L100" s="50">
        <f t="shared" si="4"/>
        <v>0</v>
      </c>
    </row>
    <row r="101" spans="1:28" x14ac:dyDescent="0.25">
      <c r="A101" s="33" t="s">
        <v>95</v>
      </c>
      <c r="B101" s="89" t="s">
        <v>3</v>
      </c>
      <c r="C101" s="90"/>
      <c r="D101" s="9">
        <v>0.14499999999999999</v>
      </c>
      <c r="E101" s="5">
        <v>1.2</v>
      </c>
      <c r="F101" s="10">
        <f t="shared" si="6"/>
        <v>0.17399999999999999</v>
      </c>
      <c r="G101" s="21">
        <v>8.2166666666666757</v>
      </c>
      <c r="H101" s="5">
        <v>0</v>
      </c>
      <c r="I101" s="8">
        <f t="shared" si="7"/>
        <v>0</v>
      </c>
      <c r="J101" s="57">
        <f t="shared" si="5"/>
        <v>0</v>
      </c>
      <c r="K101" s="20">
        <v>800</v>
      </c>
      <c r="L101" s="50">
        <f t="shared" si="4"/>
        <v>0</v>
      </c>
    </row>
    <row r="102" spans="1:28" x14ac:dyDescent="0.25">
      <c r="A102" s="33" t="s">
        <v>96</v>
      </c>
      <c r="B102" s="89" t="s">
        <v>3</v>
      </c>
      <c r="C102" s="90"/>
      <c r="D102" s="9">
        <v>0.14000000000000001</v>
      </c>
      <c r="E102" s="5">
        <v>1.2</v>
      </c>
      <c r="F102" s="10">
        <f t="shared" si="6"/>
        <v>0.16800000000000001</v>
      </c>
      <c r="G102" s="21">
        <v>7.9333333333333433</v>
      </c>
      <c r="H102" s="5">
        <v>0</v>
      </c>
      <c r="I102" s="8">
        <f t="shared" si="7"/>
        <v>0</v>
      </c>
      <c r="J102" s="57">
        <f t="shared" si="5"/>
        <v>0</v>
      </c>
      <c r="K102" s="20">
        <v>800</v>
      </c>
      <c r="L102" s="50">
        <f t="shared" si="4"/>
        <v>0</v>
      </c>
      <c r="Q102" s="34" t="s">
        <v>114</v>
      </c>
      <c r="R102" s="89" t="s">
        <v>190</v>
      </c>
      <c r="S102" s="90"/>
      <c r="T102" s="9">
        <v>4.9999999999999899E-2</v>
      </c>
      <c r="U102" s="5">
        <v>1.2</v>
      </c>
      <c r="V102" s="10">
        <f t="shared" ref="V102:V103" si="8">$D102*$E102</f>
        <v>0.16800000000000001</v>
      </c>
      <c r="W102" s="21">
        <v>2.8333333333333299</v>
      </c>
      <c r="X102" s="5">
        <v>4</v>
      </c>
      <c r="Y102" s="8">
        <f t="shared" ref="Y102:Y103" si="9">$F102*$H102</f>
        <v>0</v>
      </c>
      <c r="Z102" s="57">
        <f t="shared" ref="Z102:Z103" si="10">W102*$H102</f>
        <v>0</v>
      </c>
      <c r="AA102" s="20">
        <v>100</v>
      </c>
      <c r="AB102" s="50">
        <f>AA102*X102</f>
        <v>400</v>
      </c>
    </row>
    <row r="103" spans="1:28" x14ac:dyDescent="0.25">
      <c r="A103" s="33" t="s">
        <v>97</v>
      </c>
      <c r="B103" s="89" t="s">
        <v>3</v>
      </c>
      <c r="C103" s="90"/>
      <c r="D103" s="9">
        <v>0.13500000000000001</v>
      </c>
      <c r="E103" s="5">
        <v>1.2</v>
      </c>
      <c r="F103" s="10">
        <f t="shared" si="6"/>
        <v>0.16200000000000001</v>
      </c>
      <c r="G103" s="21">
        <v>7.6500000000000092</v>
      </c>
      <c r="H103" s="5">
        <v>0</v>
      </c>
      <c r="I103" s="8">
        <f t="shared" si="7"/>
        <v>0</v>
      </c>
      <c r="J103" s="57">
        <f t="shared" si="5"/>
        <v>0</v>
      </c>
      <c r="K103" s="20">
        <v>800</v>
      </c>
      <c r="L103" s="50">
        <f t="shared" si="4"/>
        <v>0</v>
      </c>
      <c r="Q103" s="34" t="s">
        <v>114</v>
      </c>
      <c r="R103" s="89" t="s">
        <v>191</v>
      </c>
      <c r="S103" s="90"/>
      <c r="T103" s="9">
        <v>4.9999999999999899E-2</v>
      </c>
      <c r="U103" s="5">
        <v>1.2</v>
      </c>
      <c r="V103" s="10">
        <f t="shared" si="8"/>
        <v>0.16200000000000001</v>
      </c>
      <c r="W103" s="21">
        <v>2.8333333333333299</v>
      </c>
      <c r="X103" s="5">
        <v>4</v>
      </c>
      <c r="Y103" s="8">
        <f t="shared" si="9"/>
        <v>0</v>
      </c>
      <c r="Z103" s="57">
        <f t="shared" si="10"/>
        <v>0</v>
      </c>
      <c r="AA103" s="20">
        <v>70</v>
      </c>
      <c r="AB103" s="50">
        <f>AA103*X103</f>
        <v>280</v>
      </c>
    </row>
    <row r="104" spans="1:28" x14ac:dyDescent="0.25">
      <c r="A104" s="33" t="s">
        <v>98</v>
      </c>
      <c r="B104" s="89" t="s">
        <v>3</v>
      </c>
      <c r="C104" s="90"/>
      <c r="D104" s="9">
        <v>0.13</v>
      </c>
      <c r="E104" s="5">
        <v>1.2</v>
      </c>
      <c r="F104" s="10">
        <f t="shared" si="6"/>
        <v>0.156</v>
      </c>
      <c r="G104" s="21">
        <v>7.3666666666666751</v>
      </c>
      <c r="H104" s="5">
        <v>0</v>
      </c>
      <c r="I104" s="8">
        <f t="shared" si="7"/>
        <v>0</v>
      </c>
      <c r="J104" s="57">
        <f t="shared" si="5"/>
        <v>0</v>
      </c>
      <c r="K104" s="20">
        <v>800</v>
      </c>
      <c r="L104" s="50">
        <f t="shared" si="4"/>
        <v>0</v>
      </c>
      <c r="R104" s="17"/>
      <c r="S104" s="17"/>
      <c r="T104" s="17"/>
      <c r="U104" s="17"/>
      <c r="V104" s="17"/>
      <c r="W104" s="17"/>
      <c r="X104" s="17"/>
      <c r="Y104" s="77"/>
      <c r="Z104" s="78"/>
      <c r="AA104" s="17"/>
      <c r="AB104" s="79"/>
    </row>
    <row r="105" spans="1:28" x14ac:dyDescent="0.25">
      <c r="A105" s="34" t="s">
        <v>99</v>
      </c>
      <c r="B105" s="89" t="s">
        <v>3</v>
      </c>
      <c r="C105" s="90"/>
      <c r="D105" s="9">
        <v>0.125</v>
      </c>
      <c r="E105" s="5">
        <v>1.2</v>
      </c>
      <c r="F105" s="10">
        <f t="shared" si="6"/>
        <v>0.15</v>
      </c>
      <c r="G105" s="21">
        <v>7.0833333333333419</v>
      </c>
      <c r="H105" s="5">
        <v>0</v>
      </c>
      <c r="I105" s="8">
        <f t="shared" si="7"/>
        <v>0</v>
      </c>
      <c r="J105" s="57">
        <f t="shared" si="5"/>
        <v>0</v>
      </c>
      <c r="K105" s="20">
        <v>800</v>
      </c>
      <c r="L105" s="50">
        <f t="shared" si="4"/>
        <v>0</v>
      </c>
      <c r="R105" s="98" t="s">
        <v>2</v>
      </c>
      <c r="S105" s="99"/>
      <c r="T105" s="99"/>
      <c r="U105" s="99"/>
      <c r="V105" s="99"/>
      <c r="W105" s="100"/>
      <c r="X105" s="104" t="e">
        <f>SUM(#REF!)</f>
        <v>#REF!</v>
      </c>
      <c r="Y105" s="105" t="e">
        <f>SUM(#REF!)</f>
        <v>#REF!</v>
      </c>
      <c r="Z105" s="104" t="e">
        <f>SUM(#REF!)</f>
        <v>#REF!</v>
      </c>
      <c r="AA105" s="106" t="s">
        <v>115</v>
      </c>
      <c r="AB105" s="114" t="e">
        <f>SUM(#REF!)</f>
        <v>#REF!</v>
      </c>
    </row>
    <row r="106" spans="1:28" x14ac:dyDescent="0.25">
      <c r="A106" s="33" t="s">
        <v>100</v>
      </c>
      <c r="B106" s="89" t="s">
        <v>3</v>
      </c>
      <c r="C106" s="90"/>
      <c r="D106" s="9">
        <v>0.12</v>
      </c>
      <c r="E106" s="5">
        <v>1.2</v>
      </c>
      <c r="F106" s="10">
        <f t="shared" si="6"/>
        <v>0.14399999999999999</v>
      </c>
      <c r="G106" s="21">
        <v>6.8000000000000078</v>
      </c>
      <c r="H106" s="5">
        <v>0</v>
      </c>
      <c r="I106" s="8">
        <f t="shared" si="7"/>
        <v>0</v>
      </c>
      <c r="J106" s="57">
        <f t="shared" si="5"/>
        <v>0</v>
      </c>
      <c r="K106" s="20">
        <v>800</v>
      </c>
      <c r="L106" s="50">
        <f t="shared" si="4"/>
        <v>0</v>
      </c>
      <c r="R106" s="101"/>
      <c r="S106" s="102"/>
      <c r="T106" s="102"/>
      <c r="U106" s="102"/>
      <c r="V106" s="102"/>
      <c r="W106" s="103"/>
      <c r="X106" s="104"/>
      <c r="Y106" s="105"/>
      <c r="Z106" s="104"/>
      <c r="AA106" s="106"/>
      <c r="AB106" s="114"/>
    </row>
    <row r="107" spans="1:28" x14ac:dyDescent="0.25">
      <c r="A107" s="33" t="s">
        <v>101</v>
      </c>
      <c r="B107" s="89" t="s">
        <v>3</v>
      </c>
      <c r="C107" s="90"/>
      <c r="D107" s="9">
        <v>0.115</v>
      </c>
      <c r="E107" s="5">
        <v>1.2</v>
      </c>
      <c r="F107" s="10">
        <f t="shared" si="6"/>
        <v>0.13800000000000001</v>
      </c>
      <c r="G107" s="21">
        <v>6.5166666666666746</v>
      </c>
      <c r="H107" s="5">
        <v>0</v>
      </c>
      <c r="I107" s="8">
        <f t="shared" si="7"/>
        <v>0</v>
      </c>
      <c r="J107" s="57">
        <f t="shared" si="5"/>
        <v>0</v>
      </c>
      <c r="K107" s="20">
        <v>800</v>
      </c>
      <c r="L107" s="50">
        <f t="shared" si="4"/>
        <v>0</v>
      </c>
    </row>
    <row r="108" spans="1:28" x14ac:dyDescent="0.25">
      <c r="A108" s="33" t="s">
        <v>102</v>
      </c>
      <c r="B108" s="89" t="s">
        <v>3</v>
      </c>
      <c r="C108" s="90"/>
      <c r="D108" s="9">
        <v>0.11</v>
      </c>
      <c r="E108" s="5">
        <v>1.2</v>
      </c>
      <c r="F108" s="10">
        <f t="shared" si="6"/>
        <v>0.13200000000000001</v>
      </c>
      <c r="G108" s="21">
        <v>6.2333333333333405</v>
      </c>
      <c r="H108" s="5">
        <v>0</v>
      </c>
      <c r="I108" s="8">
        <f t="shared" si="7"/>
        <v>0</v>
      </c>
      <c r="J108" s="57">
        <f t="shared" si="5"/>
        <v>0</v>
      </c>
      <c r="K108" s="20">
        <v>800</v>
      </c>
      <c r="L108" s="50">
        <f t="shared" si="4"/>
        <v>0</v>
      </c>
      <c r="Z108" s="115" t="s">
        <v>149</v>
      </c>
      <c r="AA108" s="115"/>
      <c r="AB108" s="49" t="e">
        <f>AB105</f>
        <v>#REF!</v>
      </c>
    </row>
    <row r="109" spans="1:28" x14ac:dyDescent="0.25">
      <c r="A109" s="33" t="s">
        <v>103</v>
      </c>
      <c r="B109" s="89" t="s">
        <v>3</v>
      </c>
      <c r="C109" s="90"/>
      <c r="D109" s="9">
        <v>0.105</v>
      </c>
      <c r="E109" s="5">
        <v>1.2</v>
      </c>
      <c r="F109" s="10">
        <f t="shared" si="6"/>
        <v>0.126</v>
      </c>
      <c r="G109" s="21">
        <v>5.9500000000000064</v>
      </c>
      <c r="H109" s="5">
        <v>0</v>
      </c>
      <c r="I109" s="8">
        <f t="shared" si="7"/>
        <v>0</v>
      </c>
      <c r="J109" s="57">
        <f t="shared" si="5"/>
        <v>0</v>
      </c>
      <c r="K109" s="20">
        <v>800</v>
      </c>
      <c r="L109" s="50">
        <f t="shared" si="4"/>
        <v>0</v>
      </c>
      <c r="Z109" s="116">
        <v>0.19</v>
      </c>
      <c r="AA109" s="115"/>
      <c r="AB109" s="49" t="e">
        <f>AB108*Z109</f>
        <v>#REF!</v>
      </c>
    </row>
    <row r="110" spans="1:28" ht="15.75" x14ac:dyDescent="0.25">
      <c r="A110" s="34" t="s">
        <v>104</v>
      </c>
      <c r="B110" s="89" t="s">
        <v>3</v>
      </c>
      <c r="C110" s="90"/>
      <c r="D110" s="9">
        <v>0.1</v>
      </c>
      <c r="E110" s="5">
        <v>1.2</v>
      </c>
      <c r="F110" s="10">
        <f t="shared" si="6"/>
        <v>0.12</v>
      </c>
      <c r="G110" s="21">
        <v>5.6666666666666723</v>
      </c>
      <c r="H110" s="5">
        <v>0</v>
      </c>
      <c r="I110" s="8">
        <f t="shared" si="7"/>
        <v>0</v>
      </c>
      <c r="J110" s="57">
        <f t="shared" si="5"/>
        <v>0</v>
      </c>
      <c r="K110" s="20">
        <v>800</v>
      </c>
      <c r="L110" s="50">
        <f t="shared" si="4"/>
        <v>0</v>
      </c>
      <c r="Z110" s="107" t="s">
        <v>192</v>
      </c>
      <c r="AA110" s="107"/>
      <c r="AB110" s="51" t="e">
        <f>AB108+AB109</f>
        <v>#REF!</v>
      </c>
    </row>
    <row r="111" spans="1:28" ht="15.75" x14ac:dyDescent="0.25">
      <c r="A111" s="33" t="s">
        <v>105</v>
      </c>
      <c r="B111" s="89" t="s">
        <v>3</v>
      </c>
      <c r="C111" s="90"/>
      <c r="D111" s="9">
        <v>9.5000000000000001E-2</v>
      </c>
      <c r="E111" s="5">
        <v>1.2</v>
      </c>
      <c r="F111" s="10">
        <f t="shared" si="6"/>
        <v>0.11399999999999999</v>
      </c>
      <c r="G111" s="21">
        <v>5.3833333333333382</v>
      </c>
      <c r="H111" s="5">
        <v>0</v>
      </c>
      <c r="I111" s="8">
        <f t="shared" si="7"/>
        <v>0</v>
      </c>
      <c r="J111" s="57">
        <f t="shared" si="5"/>
        <v>0</v>
      </c>
      <c r="K111" s="20">
        <v>800</v>
      </c>
      <c r="L111" s="50">
        <f t="shared" si="4"/>
        <v>0</v>
      </c>
      <c r="Z111" s="107" t="s">
        <v>193</v>
      </c>
      <c r="AA111" s="107"/>
      <c r="AB111" s="51" t="e">
        <f>AB110*30</f>
        <v>#REF!</v>
      </c>
    </row>
    <row r="112" spans="1:28" x14ac:dyDescent="0.25">
      <c r="A112" s="33" t="s">
        <v>106</v>
      </c>
      <c r="B112" s="89" t="s">
        <v>3</v>
      </c>
      <c r="C112" s="90"/>
      <c r="D112" s="9">
        <v>0.09</v>
      </c>
      <c r="E112" s="5">
        <v>1.2</v>
      </c>
      <c r="F112" s="10">
        <f t="shared" si="6"/>
        <v>0.108</v>
      </c>
      <c r="G112" s="21">
        <v>5.100000000000005</v>
      </c>
      <c r="H112" s="5">
        <v>0</v>
      </c>
      <c r="I112" s="8">
        <f t="shared" si="7"/>
        <v>0</v>
      </c>
      <c r="J112" s="57">
        <f t="shared" si="5"/>
        <v>0</v>
      </c>
      <c r="K112" s="20">
        <v>800</v>
      </c>
      <c r="L112" s="50">
        <f t="shared" si="4"/>
        <v>0</v>
      </c>
    </row>
    <row r="113" spans="1:15" x14ac:dyDescent="0.25">
      <c r="A113" s="33" t="s">
        <v>107</v>
      </c>
      <c r="B113" s="89" t="s">
        <v>3</v>
      </c>
      <c r="C113" s="90"/>
      <c r="D113" s="9">
        <v>8.5000000000000006E-2</v>
      </c>
      <c r="E113" s="5">
        <v>1.2</v>
      </c>
      <c r="F113" s="10">
        <f t="shared" si="6"/>
        <v>0.10200000000000001</v>
      </c>
      <c r="G113" s="21">
        <v>4.8166666666666718</v>
      </c>
      <c r="H113" s="5">
        <v>0</v>
      </c>
      <c r="I113" s="8">
        <f t="shared" si="7"/>
        <v>0</v>
      </c>
      <c r="J113" s="57">
        <f t="shared" si="5"/>
        <v>0</v>
      </c>
      <c r="K113" s="20">
        <v>800</v>
      </c>
      <c r="L113" s="50">
        <f t="shared" si="4"/>
        <v>0</v>
      </c>
    </row>
    <row r="114" spans="1:15" x14ac:dyDescent="0.25">
      <c r="A114" s="33" t="s">
        <v>108</v>
      </c>
      <c r="B114" s="89" t="s">
        <v>3</v>
      </c>
      <c r="C114" s="90"/>
      <c r="D114" s="9">
        <v>0.08</v>
      </c>
      <c r="E114" s="5">
        <v>1.2</v>
      </c>
      <c r="F114" s="10">
        <f t="shared" si="6"/>
        <v>9.6000000000000002E-2</v>
      </c>
      <c r="G114" s="21">
        <v>4.5333333333333377</v>
      </c>
      <c r="H114" s="5">
        <v>0</v>
      </c>
      <c r="I114" s="8">
        <f t="shared" si="7"/>
        <v>0</v>
      </c>
      <c r="J114" s="57">
        <f t="shared" si="5"/>
        <v>0</v>
      </c>
      <c r="K114" s="20">
        <v>800</v>
      </c>
      <c r="L114" s="50">
        <f t="shared" si="4"/>
        <v>0</v>
      </c>
    </row>
    <row r="115" spans="1:15" x14ac:dyDescent="0.25">
      <c r="A115" s="34" t="s">
        <v>109</v>
      </c>
      <c r="B115" s="89" t="s">
        <v>3</v>
      </c>
      <c r="C115" s="90"/>
      <c r="D115" s="9">
        <v>7.4999999999999997E-2</v>
      </c>
      <c r="E115" s="5">
        <v>1.2</v>
      </c>
      <c r="F115" s="10">
        <f t="shared" si="6"/>
        <v>0.09</v>
      </c>
      <c r="G115" s="21">
        <v>4.2500000000000036</v>
      </c>
      <c r="H115" s="5">
        <v>0</v>
      </c>
      <c r="I115" s="8">
        <f t="shared" si="7"/>
        <v>0</v>
      </c>
      <c r="J115" s="57">
        <f t="shared" si="5"/>
        <v>0</v>
      </c>
      <c r="K115" s="20">
        <v>800</v>
      </c>
      <c r="L115" s="50">
        <f t="shared" si="4"/>
        <v>0</v>
      </c>
    </row>
    <row r="116" spans="1:15" x14ac:dyDescent="0.25">
      <c r="A116" s="33" t="s">
        <v>110</v>
      </c>
      <c r="B116" s="89" t="s">
        <v>3</v>
      </c>
      <c r="C116" s="90"/>
      <c r="D116" s="9">
        <v>7.0000000000000007E-2</v>
      </c>
      <c r="E116" s="5">
        <v>1.2</v>
      </c>
      <c r="F116" s="10">
        <f t="shared" si="6"/>
        <v>8.4000000000000005E-2</v>
      </c>
      <c r="G116" s="21">
        <v>3.9666666666666703</v>
      </c>
      <c r="H116" s="5">
        <v>0</v>
      </c>
      <c r="I116" s="8">
        <f t="shared" si="7"/>
        <v>0</v>
      </c>
      <c r="J116" s="57">
        <f t="shared" si="5"/>
        <v>0</v>
      </c>
      <c r="K116" s="20">
        <v>800</v>
      </c>
      <c r="L116" s="50">
        <f t="shared" si="4"/>
        <v>0</v>
      </c>
    </row>
    <row r="117" spans="1:15" x14ac:dyDescent="0.25">
      <c r="A117" s="33" t="s">
        <v>111</v>
      </c>
      <c r="B117" s="89" t="s">
        <v>3</v>
      </c>
      <c r="C117" s="90"/>
      <c r="D117" s="9">
        <v>6.4999999999999905E-2</v>
      </c>
      <c r="E117" s="5">
        <v>1.2</v>
      </c>
      <c r="F117" s="10">
        <f t="shared" si="6"/>
        <v>7.7999999999999889E-2</v>
      </c>
      <c r="G117" s="21">
        <v>3.6833333333333313</v>
      </c>
      <c r="H117" s="5">
        <v>0</v>
      </c>
      <c r="I117" s="8">
        <f t="shared" si="7"/>
        <v>0</v>
      </c>
      <c r="J117" s="57">
        <f t="shared" si="5"/>
        <v>0</v>
      </c>
      <c r="K117" s="20">
        <v>800</v>
      </c>
      <c r="L117" s="50">
        <f t="shared" si="4"/>
        <v>0</v>
      </c>
    </row>
    <row r="118" spans="1:15" x14ac:dyDescent="0.25">
      <c r="A118" s="33" t="s">
        <v>112</v>
      </c>
      <c r="B118" s="89" t="s">
        <v>3</v>
      </c>
      <c r="C118" s="90"/>
      <c r="D118" s="9">
        <v>5.9999999999999901E-2</v>
      </c>
      <c r="E118" s="5">
        <v>1.2</v>
      </c>
      <c r="F118" s="10">
        <f t="shared" si="6"/>
        <v>7.1999999999999884E-2</v>
      </c>
      <c r="G118" s="21">
        <v>3.3999999999999977</v>
      </c>
      <c r="H118" s="5">
        <v>0</v>
      </c>
      <c r="I118" s="8">
        <f t="shared" si="7"/>
        <v>0</v>
      </c>
      <c r="J118" s="57">
        <f t="shared" si="5"/>
        <v>0</v>
      </c>
      <c r="K118" s="20">
        <v>800</v>
      </c>
      <c r="L118" s="50">
        <f t="shared" si="4"/>
        <v>0</v>
      </c>
    </row>
    <row r="119" spans="1:15" x14ac:dyDescent="0.25">
      <c r="A119" s="33" t="s">
        <v>113</v>
      </c>
      <c r="B119" s="89" t="s">
        <v>3</v>
      </c>
      <c r="C119" s="90"/>
      <c r="D119" s="9">
        <v>5.4999999999999903E-2</v>
      </c>
      <c r="E119" s="5">
        <v>1.2</v>
      </c>
      <c r="F119" s="10">
        <f t="shared" si="6"/>
        <v>6.5999999999999878E-2</v>
      </c>
      <c r="G119" s="21">
        <v>3.116666666666664</v>
      </c>
      <c r="H119" s="5">
        <v>0</v>
      </c>
      <c r="I119" s="8">
        <f t="shared" si="7"/>
        <v>0</v>
      </c>
      <c r="J119" s="57">
        <f t="shared" si="5"/>
        <v>0</v>
      </c>
      <c r="K119" s="20">
        <v>800</v>
      </c>
      <c r="L119" s="50">
        <f t="shared" si="4"/>
        <v>0</v>
      </c>
    </row>
    <row r="120" spans="1:15" x14ac:dyDescent="0.25">
      <c r="A120" s="34" t="s">
        <v>114</v>
      </c>
      <c r="B120" s="89" t="s">
        <v>3</v>
      </c>
      <c r="C120" s="90"/>
      <c r="D120" s="9">
        <v>4.9999999999999899E-2</v>
      </c>
      <c r="E120" s="5">
        <v>1.2</v>
      </c>
      <c r="F120" s="10">
        <f t="shared" si="6"/>
        <v>5.9999999999999873E-2</v>
      </c>
      <c r="G120" s="21">
        <v>2.8333333333333299</v>
      </c>
      <c r="H120" s="5">
        <v>0</v>
      </c>
      <c r="I120" s="8">
        <f t="shared" si="7"/>
        <v>0</v>
      </c>
      <c r="J120" s="57">
        <f t="shared" si="5"/>
        <v>0</v>
      </c>
      <c r="K120" s="20">
        <v>800</v>
      </c>
      <c r="L120" s="50">
        <f>$F120*$H120*$K120</f>
        <v>0</v>
      </c>
      <c r="O120" s="73"/>
    </row>
    <row r="121" spans="1:15" x14ac:dyDescent="0.25">
      <c r="B121" s="17"/>
      <c r="C121" s="17"/>
      <c r="D121" s="17"/>
      <c r="E121" s="17"/>
      <c r="F121" s="17"/>
      <c r="G121" s="17"/>
      <c r="H121" s="17"/>
      <c r="I121" s="77"/>
      <c r="J121" s="78"/>
      <c r="K121" s="17"/>
      <c r="L121" s="79"/>
    </row>
    <row r="122" spans="1:15" ht="9" customHeight="1" x14ac:dyDescent="0.25">
      <c r="B122" s="98" t="s">
        <v>2</v>
      </c>
      <c r="C122" s="99"/>
      <c r="D122" s="99"/>
      <c r="E122" s="99"/>
      <c r="F122" s="99"/>
      <c r="G122" s="100"/>
      <c r="H122" s="104">
        <f>SUM(H10:H121)</f>
        <v>0</v>
      </c>
      <c r="I122" s="105">
        <f>SUM(I10:I121)</f>
        <v>0</v>
      </c>
      <c r="J122" s="104">
        <f>SUM(J10:J121)</f>
        <v>0</v>
      </c>
      <c r="K122" s="106" t="s">
        <v>115</v>
      </c>
      <c r="L122" s="114">
        <f>SUM(L10:L121)</f>
        <v>0</v>
      </c>
    </row>
    <row r="123" spans="1:15" ht="9" customHeight="1" x14ac:dyDescent="0.25">
      <c r="B123" s="101"/>
      <c r="C123" s="102"/>
      <c r="D123" s="102"/>
      <c r="E123" s="102"/>
      <c r="F123" s="102"/>
      <c r="G123" s="103"/>
      <c r="H123" s="104"/>
      <c r="I123" s="105"/>
      <c r="J123" s="104"/>
      <c r="K123" s="106"/>
      <c r="L123" s="114"/>
    </row>
    <row r="125" spans="1:15" x14ac:dyDescent="0.25">
      <c r="J125" s="115" t="s">
        <v>149</v>
      </c>
      <c r="K125" s="115"/>
      <c r="L125" s="49">
        <f>L122</f>
        <v>0</v>
      </c>
    </row>
    <row r="126" spans="1:15" x14ac:dyDescent="0.25">
      <c r="J126" s="116">
        <v>0.19</v>
      </c>
      <c r="K126" s="115"/>
      <c r="L126" s="49">
        <f>L125*J126</f>
        <v>0</v>
      </c>
    </row>
    <row r="127" spans="1:15" ht="15.75" x14ac:dyDescent="0.25">
      <c r="J127" s="107" t="s">
        <v>192</v>
      </c>
      <c r="K127" s="107"/>
      <c r="L127" s="51">
        <f>L125+L126</f>
        <v>0</v>
      </c>
    </row>
    <row r="128" spans="1:15" ht="15.75" x14ac:dyDescent="0.25">
      <c r="J128" s="107" t="s">
        <v>193</v>
      </c>
      <c r="K128" s="107"/>
      <c r="L128" s="51">
        <f>L127*30</f>
        <v>0</v>
      </c>
    </row>
    <row r="130" spans="2:12" x14ac:dyDescent="0.25">
      <c r="B130" s="136" t="s">
        <v>194</v>
      </c>
      <c r="C130" s="136"/>
      <c r="D130" s="136"/>
      <c r="E130" s="136"/>
      <c r="F130" s="136"/>
      <c r="G130" s="136"/>
      <c r="H130" s="136"/>
      <c r="I130" s="136"/>
      <c r="J130" s="136"/>
      <c r="K130" s="136"/>
      <c r="L130" s="136"/>
    </row>
    <row r="131" spans="2:12" x14ac:dyDescent="0.25">
      <c r="B131" s="136"/>
      <c r="C131" s="136"/>
      <c r="D131" s="136"/>
      <c r="E131" s="136"/>
      <c r="F131" s="136"/>
      <c r="G131" s="136"/>
      <c r="H131" s="136"/>
      <c r="I131" s="136"/>
      <c r="J131" s="136"/>
      <c r="K131" s="136"/>
      <c r="L131" s="136"/>
    </row>
    <row r="132" spans="2:12" ht="2.25" customHeight="1" x14ac:dyDescent="0.25"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2:12" ht="15.75" customHeight="1" x14ac:dyDescent="0.25">
      <c r="B133" s="97" t="s">
        <v>0</v>
      </c>
      <c r="C133" s="97"/>
      <c r="D133" s="97"/>
      <c r="E133" s="97"/>
      <c r="F133" s="97"/>
      <c r="G133" s="97"/>
      <c r="H133" s="97" t="s">
        <v>1</v>
      </c>
      <c r="I133" s="97" t="s">
        <v>188</v>
      </c>
      <c r="J133" s="97"/>
      <c r="K133" s="143" t="s">
        <v>189</v>
      </c>
      <c r="L133" s="143"/>
    </row>
    <row r="134" spans="2:12" ht="6.75" customHeight="1" x14ac:dyDescent="0.25">
      <c r="B134" s="97"/>
      <c r="C134" s="97"/>
      <c r="D134" s="97"/>
      <c r="E134" s="97"/>
      <c r="F134" s="97"/>
      <c r="G134" s="97"/>
      <c r="H134" s="97"/>
      <c r="I134" s="97"/>
      <c r="J134" s="97"/>
      <c r="K134" s="143"/>
      <c r="L134" s="143"/>
    </row>
    <row r="135" spans="2:12" ht="2.25" customHeight="1" x14ac:dyDescent="0.25"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2:12" ht="26.25" customHeight="1" x14ac:dyDescent="0.25">
      <c r="B136" s="138" t="s">
        <v>195</v>
      </c>
      <c r="C136" s="139"/>
      <c r="D136" s="139"/>
      <c r="E136" s="139"/>
      <c r="F136" s="139"/>
      <c r="G136" s="139"/>
      <c r="H136" s="80"/>
      <c r="I136" s="140"/>
      <c r="J136" s="140"/>
      <c r="K136" s="141">
        <f t="shared" ref="K136:K141" si="11">I136*H136</f>
        <v>0</v>
      </c>
      <c r="L136" s="142"/>
    </row>
    <row r="137" spans="2:12" ht="27" customHeight="1" x14ac:dyDescent="0.25">
      <c r="B137" s="138" t="s">
        <v>196</v>
      </c>
      <c r="C137" s="139"/>
      <c r="D137" s="139"/>
      <c r="E137" s="139"/>
      <c r="F137" s="139"/>
      <c r="G137" s="139"/>
      <c r="H137" s="80"/>
      <c r="I137" s="140"/>
      <c r="J137" s="140"/>
      <c r="K137" s="141">
        <f t="shared" si="11"/>
        <v>0</v>
      </c>
      <c r="L137" s="142"/>
    </row>
    <row r="138" spans="2:12" ht="25.5" customHeight="1" x14ac:dyDescent="0.25">
      <c r="B138" s="138" t="s">
        <v>197</v>
      </c>
      <c r="C138" s="139"/>
      <c r="D138" s="139"/>
      <c r="E138" s="139"/>
      <c r="F138" s="139"/>
      <c r="G138" s="139"/>
      <c r="H138" s="80"/>
      <c r="I138" s="140"/>
      <c r="J138" s="140"/>
      <c r="K138" s="141">
        <f t="shared" si="11"/>
        <v>0</v>
      </c>
      <c r="L138" s="142"/>
    </row>
    <row r="139" spans="2:12" x14ac:dyDescent="0.25">
      <c r="B139" s="144" t="s">
        <v>198</v>
      </c>
      <c r="C139" s="145"/>
      <c r="D139" s="145"/>
      <c r="E139" s="145"/>
      <c r="F139" s="145"/>
      <c r="G139" s="145"/>
      <c r="H139" s="80"/>
      <c r="I139" s="140"/>
      <c r="J139" s="140"/>
      <c r="K139" s="141">
        <f t="shared" si="11"/>
        <v>0</v>
      </c>
      <c r="L139" s="142"/>
    </row>
    <row r="140" spans="2:12" x14ac:dyDescent="0.25">
      <c r="B140" s="144" t="s">
        <v>199</v>
      </c>
      <c r="C140" s="145"/>
      <c r="D140" s="145"/>
      <c r="E140" s="145"/>
      <c r="F140" s="145"/>
      <c r="G140" s="145"/>
      <c r="H140" s="80"/>
      <c r="I140" s="140"/>
      <c r="J140" s="140"/>
      <c r="K140" s="141">
        <f t="shared" si="11"/>
        <v>0</v>
      </c>
      <c r="L140" s="142"/>
    </row>
    <row r="141" spans="2:12" x14ac:dyDescent="0.25">
      <c r="B141" s="145" t="s">
        <v>200</v>
      </c>
      <c r="C141" s="129"/>
      <c r="D141" s="129"/>
      <c r="E141" s="129"/>
      <c r="F141" s="129"/>
      <c r="G141" s="129"/>
      <c r="H141" s="1"/>
      <c r="I141" s="140"/>
      <c r="J141" s="140"/>
      <c r="K141" s="141">
        <f t="shared" si="11"/>
        <v>0</v>
      </c>
      <c r="L141" s="142"/>
    </row>
    <row r="142" spans="2:12" ht="2.25" customHeight="1" x14ac:dyDescent="0.25"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2:12" ht="9" customHeight="1" x14ac:dyDescent="0.25">
      <c r="B143" s="98" t="s">
        <v>2</v>
      </c>
      <c r="C143" s="99"/>
      <c r="D143" s="99"/>
      <c r="E143" s="99"/>
      <c r="F143" s="99"/>
      <c r="G143" s="100"/>
      <c r="H143" s="104">
        <f>SUM(H136:H142)</f>
        <v>0</v>
      </c>
      <c r="I143" s="154" t="s">
        <v>115</v>
      </c>
      <c r="J143" s="155"/>
      <c r="K143" s="158">
        <f>SUM(K136:L141)</f>
        <v>0</v>
      </c>
      <c r="L143" s="159"/>
    </row>
    <row r="144" spans="2:12" ht="9" customHeight="1" x14ac:dyDescent="0.25">
      <c r="B144" s="101"/>
      <c r="C144" s="102"/>
      <c r="D144" s="102"/>
      <c r="E144" s="102"/>
      <c r="F144" s="102"/>
      <c r="G144" s="103"/>
      <c r="H144" s="104"/>
      <c r="I144" s="156"/>
      <c r="J144" s="157"/>
      <c r="K144" s="160"/>
      <c r="L144" s="161"/>
    </row>
    <row r="145" spans="9:12" ht="3" customHeight="1" x14ac:dyDescent="0.25"/>
    <row r="146" spans="9:12" x14ac:dyDescent="0.25">
      <c r="I146" s="162" t="s">
        <v>149</v>
      </c>
      <c r="J146" s="163"/>
      <c r="K146" s="148">
        <f>K143</f>
        <v>0</v>
      </c>
      <c r="L146" s="149"/>
    </row>
    <row r="147" spans="9:12" x14ac:dyDescent="0.25">
      <c r="I147" s="146">
        <v>0.19</v>
      </c>
      <c r="J147" s="147"/>
      <c r="K147" s="148">
        <f>K146*I147</f>
        <v>0</v>
      </c>
      <c r="L147" s="149"/>
    </row>
    <row r="148" spans="9:12" x14ac:dyDescent="0.25">
      <c r="I148" s="150" t="s">
        <v>192</v>
      </c>
      <c r="J148" s="151"/>
      <c r="K148" s="152">
        <f>K146+K147</f>
        <v>0</v>
      </c>
      <c r="L148" s="153"/>
    </row>
    <row r="149" spans="9:12" x14ac:dyDescent="0.25">
      <c r="I149" s="150" t="s">
        <v>193</v>
      </c>
      <c r="J149" s="151"/>
      <c r="K149" s="152">
        <f>K148*30</f>
        <v>0</v>
      </c>
      <c r="L149" s="153"/>
    </row>
  </sheetData>
  <mergeCells count="170">
    <mergeCell ref="I147:J147"/>
    <mergeCell ref="K147:L147"/>
    <mergeCell ref="I148:J148"/>
    <mergeCell ref="K148:L148"/>
    <mergeCell ref="I149:J149"/>
    <mergeCell ref="K149:L149"/>
    <mergeCell ref="B143:G144"/>
    <mergeCell ref="H143:H144"/>
    <mergeCell ref="I143:J144"/>
    <mergeCell ref="K143:L144"/>
    <mergeCell ref="I146:J146"/>
    <mergeCell ref="K146:L146"/>
    <mergeCell ref="B140:G140"/>
    <mergeCell ref="I140:J140"/>
    <mergeCell ref="K140:L140"/>
    <mergeCell ref="B141:G141"/>
    <mergeCell ref="I141:J141"/>
    <mergeCell ref="K141:L141"/>
    <mergeCell ref="B138:G138"/>
    <mergeCell ref="I138:J138"/>
    <mergeCell ref="K138:L138"/>
    <mergeCell ref="B139:G139"/>
    <mergeCell ref="I139:J139"/>
    <mergeCell ref="K139:L139"/>
    <mergeCell ref="B136:G136"/>
    <mergeCell ref="I136:J136"/>
    <mergeCell ref="K136:L136"/>
    <mergeCell ref="B137:G137"/>
    <mergeCell ref="I137:J137"/>
    <mergeCell ref="K137:L137"/>
    <mergeCell ref="J126:K126"/>
    <mergeCell ref="J127:K127"/>
    <mergeCell ref="J128:K128"/>
    <mergeCell ref="B130:L131"/>
    <mergeCell ref="B133:G134"/>
    <mergeCell ref="H133:H134"/>
    <mergeCell ref="I133:J134"/>
    <mergeCell ref="K133:L134"/>
    <mergeCell ref="H122:H123"/>
    <mergeCell ref="I122:I123"/>
    <mergeCell ref="J122:J123"/>
    <mergeCell ref="K122:K123"/>
    <mergeCell ref="L122:L123"/>
    <mergeCell ref="J125:K125"/>
    <mergeCell ref="B116:C116"/>
    <mergeCell ref="B117:C117"/>
    <mergeCell ref="B118:C118"/>
    <mergeCell ref="B119:C119"/>
    <mergeCell ref="B120:C120"/>
    <mergeCell ref="B122:G123"/>
    <mergeCell ref="B111:C111"/>
    <mergeCell ref="Z111:AA111"/>
    <mergeCell ref="B112:C112"/>
    <mergeCell ref="B113:C113"/>
    <mergeCell ref="B114:C114"/>
    <mergeCell ref="B115:C115"/>
    <mergeCell ref="B108:C108"/>
    <mergeCell ref="Z108:AA108"/>
    <mergeCell ref="B109:C109"/>
    <mergeCell ref="Z109:AA109"/>
    <mergeCell ref="B110:C110"/>
    <mergeCell ref="Z110:AA110"/>
    <mergeCell ref="Y105:Y106"/>
    <mergeCell ref="Z105:Z106"/>
    <mergeCell ref="AA105:AA106"/>
    <mergeCell ref="AB105:AB106"/>
    <mergeCell ref="B106:C106"/>
    <mergeCell ref="B107:C107"/>
    <mergeCell ref="B103:C103"/>
    <mergeCell ref="R103:S103"/>
    <mergeCell ref="B104:C104"/>
    <mergeCell ref="B105:C105"/>
    <mergeCell ref="R105:W106"/>
    <mergeCell ref="X105:X106"/>
    <mergeCell ref="B98:C98"/>
    <mergeCell ref="B99:C99"/>
    <mergeCell ref="B100:C100"/>
    <mergeCell ref="B101:C101"/>
    <mergeCell ref="B102:C102"/>
    <mergeCell ref="R102:S102"/>
    <mergeCell ref="B92:C92"/>
    <mergeCell ref="B93:C93"/>
    <mergeCell ref="B94:C94"/>
    <mergeCell ref="B95:C95"/>
    <mergeCell ref="B96:C96"/>
    <mergeCell ref="B97:C97"/>
    <mergeCell ref="B86:C86"/>
    <mergeCell ref="B87:C87"/>
    <mergeCell ref="B88:C88"/>
    <mergeCell ref="B89:C89"/>
    <mergeCell ref="B90:C90"/>
    <mergeCell ref="B91:C91"/>
    <mergeCell ref="B80:C80"/>
    <mergeCell ref="B81:C81"/>
    <mergeCell ref="B82:C82"/>
    <mergeCell ref="B83:C83"/>
    <mergeCell ref="B84:C84"/>
    <mergeCell ref="B85:C85"/>
    <mergeCell ref="B74:C74"/>
    <mergeCell ref="B75:C75"/>
    <mergeCell ref="B76:C76"/>
    <mergeCell ref="B77:C77"/>
    <mergeCell ref="B78:C78"/>
    <mergeCell ref="B79:C79"/>
    <mergeCell ref="B68:C68"/>
    <mergeCell ref="B69:C69"/>
    <mergeCell ref="B70:C70"/>
    <mergeCell ref="B71:C71"/>
    <mergeCell ref="B72:C72"/>
    <mergeCell ref="B73:C73"/>
    <mergeCell ref="B62:C62"/>
    <mergeCell ref="B63:C63"/>
    <mergeCell ref="B64:C64"/>
    <mergeCell ref="B65:C65"/>
    <mergeCell ref="B66:C66"/>
    <mergeCell ref="B67:C67"/>
    <mergeCell ref="B56:C56"/>
    <mergeCell ref="B57:C57"/>
    <mergeCell ref="B58:C58"/>
    <mergeCell ref="B59:C59"/>
    <mergeCell ref="B60:C60"/>
    <mergeCell ref="B61:C61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38:C38"/>
    <mergeCell ref="B39:C39"/>
    <mergeCell ref="B40:C40"/>
    <mergeCell ref="B41:C41"/>
    <mergeCell ref="B42:C42"/>
    <mergeCell ref="B43:C43"/>
    <mergeCell ref="B32:C32"/>
    <mergeCell ref="B33:C33"/>
    <mergeCell ref="B34:C34"/>
    <mergeCell ref="B35:C35"/>
    <mergeCell ref="B36:C36"/>
    <mergeCell ref="B37:C37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1:L2"/>
    <mergeCell ref="B4:E4"/>
    <mergeCell ref="B10:C10"/>
    <mergeCell ref="B11:C11"/>
    <mergeCell ref="B12:C12"/>
    <mergeCell ref="B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Tabla Base_COT</vt:lpstr>
      <vt:lpstr>Tablas de Pesos</vt:lpstr>
      <vt:lpstr>Hoja1</vt:lpstr>
      <vt:lpstr>'Tabla Base_COT'!Área_de_impresión</vt:lpstr>
      <vt:lpstr>'Tablas de Pesos'!Área_de_impresión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USUARIO_2</dc:creator>
  <cp:lastModifiedBy>contabilidad gyhbogota</cp:lastModifiedBy>
  <cp:lastPrinted>2025-07-07T17:35:09Z</cp:lastPrinted>
  <dcterms:created xsi:type="dcterms:W3CDTF">2011-04-28T16:52:39Z</dcterms:created>
  <dcterms:modified xsi:type="dcterms:W3CDTF">2026-06-17T18:43:47Z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2024-01-18T21:36:31Z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5cc05d8b-ef01-4430-ad42-9dc9872147f9</vt:lpwstr>
  </property>
  <property fmtid="{D5CDD505-2E9C-101B-9397-08002B2CF9AE}" pid="7" name="MSIP_Label_defa4170-0d19-0005-0004-bc88714345d2_ActionId">
    <vt:lpwstr>5482755b-8883-44d8-8660-e768cda0c54b</vt:lpwstr>
  </property>
  <property fmtid="{D5CDD505-2E9C-101B-9397-08002B2CF9AE}" pid="8" name="MSIP_Label_defa4170-0d19-0005-0004-bc88714345d2_ContentBits">
    <vt:lpwstr>0</vt:lpwstr>
  </property>
</Properties>
</file>